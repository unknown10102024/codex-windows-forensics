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10-03\create-an-editable-excel-workbook-for-21\work\"/>
    </mc:Choice>
  </mc:AlternateContent>
  <xr:revisionPtr revIDLastSave="0" documentId="13_ncr:1_{43C250F9-EB0C-40D0-A51C-8A0775F37E3C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5" i="4"/>
  <c r="G10" i="3"/>
  <c r="E10" i="3"/>
  <c r="C10" i="3"/>
  <c r="A10" i="3"/>
  <c r="D9" i="4" s="1"/>
  <c r="G9" i="3"/>
  <c r="E9" i="3"/>
  <c r="C9" i="3"/>
  <c r="A9" i="3"/>
  <c r="D8" i="4" s="1"/>
  <c r="G8" i="3"/>
  <c r="E8" i="3"/>
  <c r="C8" i="3"/>
  <c r="A8" i="3"/>
  <c r="D7" i="4" s="1"/>
  <c r="G7" i="3"/>
  <c r="E7" i="3"/>
  <c r="C7" i="3"/>
  <c r="A7" i="3"/>
  <c r="D6" i="4" s="1"/>
  <c r="G6" i="3"/>
  <c r="E6" i="3"/>
  <c r="C6" i="3"/>
  <c r="A6" i="3"/>
  <c r="D5" i="4" s="1"/>
  <c r="E3" i="3"/>
  <c r="B3" i="3"/>
  <c r="F10" i="2"/>
  <c r="B10" i="3" s="1"/>
  <c r="F9" i="2"/>
  <c r="B9" i="3" s="1"/>
  <c r="F8" i="2"/>
  <c r="B8" i="3" s="1"/>
  <c r="F7" i="2"/>
  <c r="B7" i="3" s="1"/>
  <c r="F6" i="2"/>
  <c r="B6" i="3" s="1"/>
  <c r="D9" i="3" l="1"/>
  <c r="F9" i="3" s="1"/>
  <c r="H9" i="3" s="1"/>
  <c r="E8" i="4" s="1"/>
  <c r="D7" i="3"/>
  <c r="F7" i="3" s="1"/>
  <c r="G10" i="2"/>
  <c r="J10" i="3" s="1"/>
  <c r="F9" i="4" s="1"/>
  <c r="D6" i="3"/>
  <c r="F6" i="3" s="1"/>
  <c r="H6" i="3" s="1"/>
  <c r="E5" i="4" s="1"/>
  <c r="D8" i="3"/>
  <c r="F8" i="3" s="1"/>
  <c r="H8" i="3" s="1"/>
  <c r="E7" i="4" s="1"/>
  <c r="D10" i="3"/>
  <c r="F10" i="3" s="1"/>
  <c r="H10" i="3" s="1"/>
  <c r="E9" i="4" s="1"/>
  <c r="G6" i="2"/>
  <c r="J6" i="3" s="1"/>
  <c r="G7" i="2"/>
  <c r="J7" i="3" s="1"/>
  <c r="F6" i="4" s="1"/>
  <c r="G8" i="2"/>
  <c r="J8" i="3" s="1"/>
  <c r="F7" i="4" s="1"/>
  <c r="G9" i="2"/>
  <c r="J9" i="3" s="1"/>
  <c r="F8" i="4" s="1"/>
  <c r="F5" i="4"/>
  <c r="I8" i="3"/>
  <c r="I9" i="3" l="1"/>
  <c r="H7" i="3"/>
  <c r="E6" i="4" s="1"/>
  <c r="I7" i="3"/>
  <c r="I10" i="3"/>
  <c r="I6" i="3"/>
  <c r="H12" i="3"/>
  <c r="B8" i="4" s="1"/>
  <c r="B11" i="4" s="1"/>
  <c r="J12" i="3"/>
  <c r="B6" i="4" s="1"/>
  <c r="B7" i="4" s="1"/>
  <c r="G12" i="2"/>
  <c r="B10" i="4" l="1"/>
</calcChain>
</file>

<file path=xl/sharedStrings.xml><?xml version="1.0" encoding="utf-8"?>
<sst xmlns="http://schemas.openxmlformats.org/spreadsheetml/2006/main" count="60" uniqueCount="48">
  <si>
    <t>Carbonara meal planner</t>
  </si>
  <si>
    <t>Setting</t>
  </si>
  <si>
    <t>Value</t>
  </si>
  <si>
    <t>Input guidance</t>
  </si>
  <si>
    <t>Base recipe servings</t>
  </si>
  <si>
    <t>The recipe quantities are for 2 servings.</t>
  </si>
  <si>
    <t>Desired servings</t>
  </si>
  <si>
    <t>Edit desired servings. Whole numbers: 1–20.</t>
  </si>
  <si>
    <t>Shopping budget (USD)</t>
  </si>
  <si>
    <t>Edit the shopping budget. USD, zero or more.</t>
  </si>
  <si>
    <t>Amber cells are editable inputs.</t>
  </si>
  <si>
    <t>Adjust ingredient quantities, stock, package sizes and prices on Ingredients.</t>
  </si>
  <si>
    <t>Shopping costs include whole packages. All weights are in grams.</t>
  </si>
  <si>
    <t>Carbonara ingredients</t>
  </si>
  <si>
    <t>Source: fixed illustrative data supplied for this meal plan.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</si>
  <si>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</si>
  <si>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</si>
  <si>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</si>
  <si>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</si>
  <si>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</si>
  <si>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</si>
  <si>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</si>
  <si>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</si>
  <si>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</si>
  <si>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</si>
  <si>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</si>
  <si>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</si>
  <si>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Total used cost</t>
  </si>
  <si>
    <t>Egg yolks are weighed without shells or egg whites.</t>
  </si>
  <si>
    <t>Carbonara shopping list</t>
  </si>
  <si>
    <t>Budget (USD)</t>
  </si>
  <si>
    <t>Additional needed (g)</t>
  </si>
  <si>
    <t>Packages to buy</t>
  </si>
  <si>
    <t>Purchase cost (USD)</t>
  </si>
  <si>
    <t>Stock after cooking (g)</t>
  </si>
  <si>
    <t>Purchase total</t>
  </si>
  <si>
    <t>Used cost total</t>
  </si>
  <si>
    <t>Highlighted rows require a purchase. Zero-purchase ingredients remain visible.</t>
  </si>
  <si>
    <t>Stock after cooking = stock available + purchased grams − required grams.</t>
  </si>
  <si>
    <t>Carbonara cost dashboard</t>
  </si>
  <si>
    <t>Metric</t>
  </si>
  <si>
    <t>Used cost (USD)</t>
  </si>
  <si>
    <t>Total used-ingredient cost</t>
  </si>
  <si>
    <t>Used cost per serving</t>
  </si>
  <si>
    <t>Total purchase cost</t>
  </si>
  <si>
    <t>Budget remaining (USD)</t>
  </si>
  <si>
    <t>Budget status</t>
  </si>
  <si>
    <t>Edit the amber inputs on Setup and Ingredients to update the meal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</si>
</sst>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"/>
  </numFmts>
  <fonts count="8">
    <font>
      <sz val="11"/>
      <name val="Carlito"/>
    </font>
    <font>
      <sz val="11"/>
      <color rgb="FF233046"/>
      <name val="Arial"/>
    </font>
    <font>
      <b/>
      <sz val="16"/>
      <color rgb="FF31466A"/>
      <name val="Arial"/>
    </font>
    <font>
      <b/>
      <sz val="11"/>
      <color rgb="FFFFFFFF"/>
      <name val="Arial"/>
    </font>
    <font>
      <b/>
      <sz val="11"/>
      <color rgb="FF1F4E78"/>
      <name val="Arial"/>
    </font>
    <font>
      <b/>
      <sz val="11"/>
      <color rgb="FF233046"/>
      <name val="Arial"/>
    </font>
    <font>
      <i/>
      <sz val="11"/>
      <color rgb="FF233046"/>
      <name val="Arial"/>
    </font>
    <font>
      <sz val="11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31466A"/>
      </patternFill>
    </fill>
    <fill>
      <patternFill patternType="solid">
        <fgColor rgb="FFFFF2CC"/>
      </patternFill>
    </fill>
    <fill>
      <patternFill patternType="solid">
        <fgColor rgb="FFF0F3F7"/>
      </patternFill>
    </fill>
  </fills>
  <borders count="6">
    <border>
      <left/>
      <right/>
      <top/>
      <bottom/>
      <diagonal/>
    </border>
    <border>
      <left/>
      <right/>
      <top/>
      <bottom style="thin">
        <color rgb="FFC9D2D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C9D2DD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165" fontId="7" fillId="3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4" fontId="7" fillId="3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vertical="center"/>
    </xf>
    <xf numFmtId="0" fontId="5" fillId="4" borderId="5" xfId="0" applyNumberFormat="1" applyFont="1" applyFill="1" applyBorder="1" applyAlignment="1">
      <alignment vertical="center"/>
    </xf>
    <xf numFmtId="164" fontId="5" fillId="4" borderId="5" xfId="0" applyNumberFormat="1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6">
    <dxf>
      <font>
        <color rgb="FF233046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233046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1466A"/>
            </a:solidFill>
          </c:spPr>
          <c:invertIfNegative val="1"/>
          <c:cat>
            <c:strRef>
              <c:f>Dashboard!$D$5:$D$9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Dashboard!$E$5:$E$9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A0C-45AA-ACDA-0D22985A1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Dashboard!$D$5:$D$9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Dashboard!$F$5:$F$9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3-445C-82D2-5D493C13A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bonaraIngredients" displayName="CarbonaraIngredients" ref="A5:G10" totalsRowShown="0">
  <autoFilter ref="A5:G10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85A7"/>
  </sheetPr>
  <dimension ref="A1:F13"/>
  <sheetViews>
    <sheetView showGridLines="0" tabSelected="1" workbookViewId="0">
      <selection activeCell="B6" sqref="B6"/>
    </sheetView>
  </sheetViews>
  <sheetFormatPr defaultRowHeight="14.25"/>
  <cols>
    <col min="1" max="1" width="31" customWidth="1"/>
    <col min="2" max="2" width="18" customWidth="1"/>
    <col min="3" max="3" width="3" customWidth="1"/>
    <col min="4" max="4" width="44" customWidth="1"/>
    <col min="5" max="5" width="16" customWidth="1"/>
    <col min="6" max="6" width="10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30.95" customHeight="1">
      <c r="A2" s="2" t="s">
        <v>0</v>
      </c>
      <c r="B2" s="3"/>
      <c r="C2" s="3"/>
      <c r="D2" s="3"/>
      <c r="E2" s="3"/>
      <c r="F2" s="3"/>
    </row>
    <row r="3" spans="1:6" ht="24.95" customHeight="1">
      <c r="A3" s="1"/>
      <c r="B3" s="1"/>
      <c r="C3" s="1"/>
      <c r="D3" s="1"/>
      <c r="E3" s="1"/>
      <c r="F3" s="1"/>
    </row>
    <row r="4" spans="1:6" ht="24.95" customHeight="1">
      <c r="A4" s="4" t="s">
        <v>1</v>
      </c>
      <c r="B4" s="5" t="s">
        <v>2</v>
      </c>
      <c r="C4" s="1"/>
      <c r="D4" s="10" t="s">
        <v>3</v>
      </c>
      <c r="E4" s="1"/>
      <c r="F4" s="1"/>
    </row>
    <row r="5" spans="1:6" ht="24.95" customHeight="1">
      <c r="A5" s="1" t="s">
        <v>4</v>
      </c>
      <c r="B5" s="6">
        <v>2</v>
      </c>
      <c r="C5" s="1"/>
      <c r="D5" s="1" t="s">
        <v>5</v>
      </c>
      <c r="E5" s="1"/>
      <c r="F5" s="1"/>
    </row>
    <row r="6" spans="1:6" ht="24.95" customHeight="1">
      <c r="A6" s="1" t="s">
        <v>6</v>
      </c>
      <c r="B6" s="8">
        <v>6</v>
      </c>
      <c r="C6" s="1"/>
      <c r="D6" s="1" t="s">
        <v>7</v>
      </c>
      <c r="E6" s="1"/>
      <c r="F6" s="1"/>
    </row>
    <row r="7" spans="1:6" ht="24.95" customHeight="1">
      <c r="A7" s="1" t="s">
        <v>8</v>
      </c>
      <c r="B7" s="9">
        <v>20</v>
      </c>
      <c r="C7" s="1"/>
      <c r="D7" s="1" t="s">
        <v>9</v>
      </c>
      <c r="E7" s="1"/>
      <c r="F7" s="1"/>
    </row>
    <row r="8" spans="1:6" ht="24.95" customHeight="1">
      <c r="A8" s="1"/>
      <c r="B8" s="1"/>
      <c r="C8" s="1"/>
      <c r="D8" s="1"/>
      <c r="E8" s="1"/>
      <c r="F8" s="1"/>
    </row>
    <row r="9" spans="1:6" ht="24.95" customHeight="1">
      <c r="A9" s="11" t="s">
        <v>10</v>
      </c>
      <c r="B9" s="1"/>
      <c r="C9" s="1"/>
      <c r="D9" s="1"/>
      <c r="E9" s="1"/>
      <c r="F9" s="1"/>
    </row>
    <row r="10" spans="1:6" ht="24.95" customHeight="1">
      <c r="A10" s="1"/>
      <c r="B10" s="1"/>
      <c r="C10" s="1"/>
      <c r="D10" s="1"/>
      <c r="E10" s="1"/>
      <c r="F10" s="1"/>
    </row>
    <row r="11" spans="1:6" ht="24.95" customHeight="1">
      <c r="A11" s="1" t="s">
        <v>11</v>
      </c>
      <c r="B11" s="1"/>
      <c r="C11" s="1"/>
      <c r="D11" s="1"/>
      <c r="E11" s="1"/>
      <c r="F11" s="1"/>
    </row>
    <row r="12" spans="1:6" ht="24.95" customHeight="1">
      <c r="A12" s="1" t="s">
        <v>12</v>
      </c>
      <c r="B12" s="1"/>
      <c r="C12" s="1"/>
      <c r="D12" s="1"/>
      <c r="E12" s="1"/>
      <c r="F12" s="1"/>
    </row>
    <row r="13" spans="1:6" ht="24.95" customHeight="1">
      <c r="A13" s="1"/>
      <c r="B13" s="1"/>
      <c r="C13" s="1"/>
      <c r="D13" s="1"/>
      <c r="E13" s="1"/>
      <c r="F13" s="1"/>
    </row>
  </sheetData>
  <dataValidations count="2">
    <dataValidation type="whole" showErrorMessage="1" errorTitle="Invalid servings" error="Enter a whole number from 1 through 20." sqref="B6" xr:uid="{00000000-0002-0000-0000-000000000000}">
      <formula1>1</formula1>
      <formula2>20</formula2>
    </dataValidation>
    <dataValidation type="decimal" operator="greaterThanOrEqual" showErrorMessage="1" errorTitle="Invalid budget" error="Enter a nonnegative number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4" customWidth="1"/>
    <col min="2" max="2" width="19" customWidth="1"/>
    <col min="3" max="4" width="18" customWidth="1"/>
    <col min="5" max="6" width="20" customWidth="1"/>
    <col min="7" max="7" width="22" customWidth="1"/>
  </cols>
  <sheetData>
    <row r="1" spans="1:7" ht="9.9499999999999993" customHeight="1">
      <c r="A1" s="1"/>
      <c r="B1" s="1"/>
      <c r="C1" s="1"/>
      <c r="D1" s="1"/>
      <c r="E1" s="1"/>
      <c r="F1" s="1"/>
      <c r="G1" s="1"/>
    </row>
    <row r="2" spans="1:7" ht="30.95" customHeight="1">
      <c r="A2" s="2" t="s">
        <v>13</v>
      </c>
      <c r="B2" s="3"/>
      <c r="C2" s="3"/>
      <c r="D2" s="3"/>
      <c r="E2" s="3"/>
      <c r="F2" s="3"/>
      <c r="G2" s="3"/>
    </row>
    <row r="3" spans="1:7" ht="24.95" customHeight="1">
      <c r="A3" s="11" t="s">
        <v>14</v>
      </c>
      <c r="B3" s="1"/>
      <c r="C3" s="1"/>
      <c r="D3" s="1"/>
      <c r="E3" s="1"/>
      <c r="F3" s="1"/>
      <c r="G3" s="1"/>
    </row>
    <row r="4" spans="1:7" ht="24.95" customHeight="1">
      <c r="A4" s="1"/>
      <c r="B4" s="1"/>
      <c r="C4" s="1"/>
      <c r="D4" s="1"/>
      <c r="E4" s="1"/>
      <c r="F4" s="1"/>
      <c r="G4" s="1"/>
    </row>
    <row r="5" spans="1:7" ht="48" customHeight="1">
      <c r="A5" s="4" t="s">
        <v>15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5" t="s">
        <v>21</v>
      </c>
    </row>
    <row r="6" spans="1:7" ht="24.95" customHeight="1">
      <c r="A6" s="1" t="s">
        <v>22</v>
      </c>
      <c r="B6" s="13">
        <v>200</v>
      </c>
      <c r="C6" s="13">
        <v>100</v>
      </c>
      <c r="D6" s="13">
        <v>500</v>
      </c>
      <c r="E6" s="15">
        <v>2.5</v>
      </c>
      <c r="F6" s="14">
        <f>B6*Setup!$B$6/Setup!$B$5</f>
        <v>600</v>
      </c>
      <c r="G6" s="7">
        <f>F6/D6*E6</f>
        <v>3</v>
      </c>
    </row>
    <row r="7" spans="1:7" ht="24.95" customHeight="1">
      <c r="A7" s="1" t="s">
        <v>23</v>
      </c>
      <c r="B7" s="13">
        <v>80</v>
      </c>
      <c r="C7" s="13">
        <v>20</v>
      </c>
      <c r="D7" s="13">
        <v>100</v>
      </c>
      <c r="E7" s="15">
        <v>4</v>
      </c>
      <c r="F7" s="14">
        <f>B7*Setup!$B$6/Setup!$B$5</f>
        <v>240</v>
      </c>
      <c r="G7" s="7">
        <f>F7/D7*E7</f>
        <v>9.6</v>
      </c>
    </row>
    <row r="8" spans="1:7" ht="24.95" customHeight="1">
      <c r="A8" s="1" t="s">
        <v>24</v>
      </c>
      <c r="B8" s="13">
        <v>36</v>
      </c>
      <c r="C8" s="13">
        <v>0</v>
      </c>
      <c r="D8" s="13">
        <v>36</v>
      </c>
      <c r="E8" s="15">
        <v>0.54</v>
      </c>
      <c r="F8" s="14">
        <f>B8*Setup!$B$6/Setup!$B$5</f>
        <v>108</v>
      </c>
      <c r="G8" s="7">
        <f>F8/D8*E8</f>
        <v>1.62</v>
      </c>
    </row>
    <row r="9" spans="1:7" ht="24.95" customHeight="1">
      <c r="A9" s="1" t="s">
        <v>25</v>
      </c>
      <c r="B9" s="13">
        <v>40</v>
      </c>
      <c r="C9" s="13">
        <v>10</v>
      </c>
      <c r="D9" s="13">
        <v>100</v>
      </c>
      <c r="E9" s="15">
        <v>3.5</v>
      </c>
      <c r="F9" s="14">
        <f>B9*Setup!$B$6/Setup!$B$5</f>
        <v>120</v>
      </c>
      <c r="G9" s="7">
        <f>F9/D9*E9</f>
        <v>4.2</v>
      </c>
    </row>
    <row r="10" spans="1:7" ht="24.95" customHeight="1">
      <c r="A10" s="1" t="s">
        <v>26</v>
      </c>
      <c r="B10" s="13">
        <v>1</v>
      </c>
      <c r="C10" s="13">
        <v>2</v>
      </c>
      <c r="D10" s="13">
        <v>50</v>
      </c>
      <c r="E10" s="15">
        <v>2.5</v>
      </c>
      <c r="F10" s="14">
        <f>B10*Setup!$B$6/Setup!$B$5</f>
        <v>3</v>
      </c>
      <c r="G10" s="7">
        <f>F10/D10*E10</f>
        <v>0.15</v>
      </c>
    </row>
    <row r="11" spans="1:7" ht="24.95" customHeight="1">
      <c r="A11" s="1"/>
      <c r="B11" s="1"/>
      <c r="C11" s="1"/>
      <c r="D11" s="1"/>
      <c r="E11" s="1"/>
      <c r="F11" s="1"/>
      <c r="G11" s="16"/>
    </row>
    <row r="12" spans="1:7" ht="24.95" customHeight="1">
      <c r="A12" s="1"/>
      <c r="B12" s="1"/>
      <c r="C12" s="1"/>
      <c r="D12" s="1"/>
      <c r="E12" s="1"/>
      <c r="F12" s="17" t="s">
        <v>27</v>
      </c>
      <c r="G12" s="18">
        <f>SUM(G6:G10)</f>
        <v>18.569999999999997</v>
      </c>
    </row>
    <row r="13" spans="1:7" ht="24.95" customHeight="1">
      <c r="A13" s="1"/>
      <c r="B13" s="1"/>
      <c r="C13" s="1"/>
      <c r="D13" s="1"/>
      <c r="E13" s="1"/>
      <c r="F13" s="1"/>
      <c r="G13" s="1"/>
    </row>
    <row r="14" spans="1:7" ht="24.95" customHeight="1">
      <c r="A14" s="11" t="s">
        <v>28</v>
      </c>
      <c r="B14" s="1"/>
      <c r="C14" s="1"/>
      <c r="D14" s="1"/>
      <c r="E14" s="1"/>
      <c r="F14" s="1"/>
      <c r="G1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4" customWidth="1"/>
    <col min="2" max="3" width="17" customWidth="1"/>
    <col min="4" max="4" width="18" customWidth="1"/>
    <col min="5" max="5" width="17" customWidth="1"/>
    <col min="6" max="6" width="15" customWidth="1"/>
    <col min="7" max="7" width="20" customWidth="1"/>
    <col min="8" max="8" width="19" customWidth="1"/>
    <col min="9" max="9" width="21" customWidth="1"/>
    <col min="10" max="10" width="22" customWidth="1"/>
  </cols>
  <sheetData>
    <row r="1" spans="1:10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.95" customHeight="1">
      <c r="A2" s="2" t="s">
        <v>29</v>
      </c>
      <c r="B2" s="3"/>
      <c r="C2" s="3"/>
      <c r="D2" s="3"/>
      <c r="E2" s="3"/>
      <c r="F2" s="3"/>
      <c r="G2" s="3"/>
      <c r="H2" s="3"/>
      <c r="I2" s="3"/>
      <c r="J2" s="3"/>
    </row>
    <row r="3" spans="1:10" ht="24.95" customHeight="1">
      <c r="A3" s="1" t="s">
        <v>6</v>
      </c>
      <c r="B3" s="1">
        <f>Setup!B6</f>
        <v>6</v>
      </c>
      <c r="C3" s="1"/>
      <c r="D3" s="1" t="s">
        <v>30</v>
      </c>
      <c r="E3" s="16">
        <f>Setup!B7</f>
        <v>20</v>
      </c>
      <c r="F3" s="1"/>
      <c r="G3" s="1"/>
      <c r="H3" s="1"/>
      <c r="I3" s="1"/>
      <c r="J3" s="1"/>
    </row>
    <row r="4" spans="1:10" ht="24.9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8" customHeight="1">
      <c r="A5" s="4" t="s">
        <v>15</v>
      </c>
      <c r="B5" s="12" t="s">
        <v>20</v>
      </c>
      <c r="C5" s="12" t="s">
        <v>17</v>
      </c>
      <c r="D5" s="12" t="s">
        <v>31</v>
      </c>
      <c r="E5" s="12" t="s">
        <v>18</v>
      </c>
      <c r="F5" s="12" t="s">
        <v>32</v>
      </c>
      <c r="G5" s="12" t="s">
        <v>19</v>
      </c>
      <c r="H5" s="12" t="s">
        <v>33</v>
      </c>
      <c r="I5" s="12" t="s">
        <v>34</v>
      </c>
      <c r="J5" s="5" t="s">
        <v>21</v>
      </c>
    </row>
    <row r="6" spans="1:10" ht="24.95" customHeight="1">
      <c r="A6" s="1" t="str">
        <f>Ingredients!A6</f>
        <v>Spaghetti (dry)</v>
      </c>
      <c r="B6" s="14">
        <f>Ingredients!F6</f>
        <v>600</v>
      </c>
      <c r="C6" s="14">
        <f>Ingredients!C6</f>
        <v>100</v>
      </c>
      <c r="D6" s="14">
        <f>MAX(0,B6-C6)</f>
        <v>500</v>
      </c>
      <c r="E6" s="14">
        <f>Ingredients!D6</f>
        <v>500</v>
      </c>
      <c r="F6" s="6">
        <f>ROUNDUP(D6/E6,0)</f>
        <v>1</v>
      </c>
      <c r="G6" s="7">
        <f>Ingredients!E6</f>
        <v>2.5</v>
      </c>
      <c r="H6" s="7">
        <f>F6*G6</f>
        <v>2.5</v>
      </c>
      <c r="I6" s="14">
        <f>C6+F6*E6-B6</f>
        <v>0</v>
      </c>
      <c r="J6" s="7">
        <f>Ingredients!G6</f>
        <v>3</v>
      </c>
    </row>
    <row r="7" spans="1:10" ht="24.95" customHeight="1">
      <c r="A7" s="1" t="str">
        <f>Ingredients!A7</f>
        <v>Guanciale</v>
      </c>
      <c r="B7" s="14">
        <f>Ingredients!F7</f>
        <v>240</v>
      </c>
      <c r="C7" s="14">
        <f>Ingredients!C7</f>
        <v>20</v>
      </c>
      <c r="D7" s="14">
        <f>MAX(0,B7-C7)</f>
        <v>220</v>
      </c>
      <c r="E7" s="14">
        <f>Ingredients!D7</f>
        <v>100</v>
      </c>
      <c r="F7" s="6">
        <f>ROUNDUP(D7/E7,0)</f>
        <v>3</v>
      </c>
      <c r="G7" s="7">
        <f>Ingredients!E7</f>
        <v>4</v>
      </c>
      <c r="H7" s="7">
        <f>F7*G7</f>
        <v>12</v>
      </c>
      <c r="I7" s="14">
        <f>C7+F7*E7-B7</f>
        <v>80</v>
      </c>
      <c r="J7" s="7">
        <f>Ingredients!G7</f>
        <v>9.6</v>
      </c>
    </row>
    <row r="8" spans="1:10" ht="24.95" customHeight="1">
      <c r="A8" s="1" t="str">
        <f>Ingredients!A8</f>
        <v>Egg yolks</v>
      </c>
      <c r="B8" s="14">
        <f>Ingredients!F8</f>
        <v>108</v>
      </c>
      <c r="C8" s="14">
        <f>Ingredients!C8</f>
        <v>0</v>
      </c>
      <c r="D8" s="14">
        <f>MAX(0,B8-C8)</f>
        <v>108</v>
      </c>
      <c r="E8" s="14">
        <f>Ingredients!D8</f>
        <v>36</v>
      </c>
      <c r="F8" s="6">
        <f>ROUNDUP(D8/E8,0)</f>
        <v>3</v>
      </c>
      <c r="G8" s="7">
        <f>Ingredients!E8</f>
        <v>0.54</v>
      </c>
      <c r="H8" s="7">
        <f>F8*G8</f>
        <v>1.62</v>
      </c>
      <c r="I8" s="14">
        <f>C8+F8*E8-B8</f>
        <v>0</v>
      </c>
      <c r="J8" s="7">
        <f>Ingredients!G8</f>
        <v>1.62</v>
      </c>
    </row>
    <row r="9" spans="1:10" ht="24.95" customHeight="1">
      <c r="A9" s="1" t="str">
        <f>Ingredients!A9</f>
        <v>Pecorino Romano</v>
      </c>
      <c r="B9" s="14">
        <f>Ingredients!F9</f>
        <v>120</v>
      </c>
      <c r="C9" s="14">
        <f>Ingredients!C9</f>
        <v>10</v>
      </c>
      <c r="D9" s="14">
        <f>MAX(0,B9-C9)</f>
        <v>110</v>
      </c>
      <c r="E9" s="14">
        <f>Ingredients!D9</f>
        <v>100</v>
      </c>
      <c r="F9" s="6">
        <f>ROUNDUP(D9/E9,0)</f>
        <v>2</v>
      </c>
      <c r="G9" s="7">
        <f>Ingredients!E9</f>
        <v>3.5</v>
      </c>
      <c r="H9" s="7">
        <f>F9*G9</f>
        <v>7</v>
      </c>
      <c r="I9" s="14">
        <f>C9+F9*E9-B9</f>
        <v>90</v>
      </c>
      <c r="J9" s="7">
        <f>Ingredients!G9</f>
        <v>4.2</v>
      </c>
    </row>
    <row r="10" spans="1:10" ht="24.95" customHeight="1">
      <c r="A10" s="1" t="str">
        <f>Ingredients!A10</f>
        <v>Black pepper</v>
      </c>
      <c r="B10" s="14">
        <f>Ingredients!F10</f>
        <v>3</v>
      </c>
      <c r="C10" s="14">
        <f>Ingredients!C10</f>
        <v>2</v>
      </c>
      <c r="D10" s="14">
        <f>MAX(0,B10-C10)</f>
        <v>1</v>
      </c>
      <c r="E10" s="14">
        <f>Ingredients!D10</f>
        <v>50</v>
      </c>
      <c r="F10" s="6">
        <f>ROUNDUP(D10/E10,0)</f>
        <v>1</v>
      </c>
      <c r="G10" s="7">
        <f>Ingredients!E10</f>
        <v>2.5</v>
      </c>
      <c r="H10" s="7">
        <f>F10*G10</f>
        <v>2.5</v>
      </c>
      <c r="I10" s="14">
        <f>C10+F10*E10-B10</f>
        <v>49</v>
      </c>
      <c r="J10" s="7">
        <f>Ingredients!G10</f>
        <v>0.15</v>
      </c>
    </row>
    <row r="11" spans="1:10" ht="24.95" customHeight="1">
      <c r="A11" s="1"/>
      <c r="B11" s="1"/>
      <c r="C11" s="1"/>
      <c r="D11" s="1"/>
      <c r="E11" s="1"/>
      <c r="F11" s="1"/>
      <c r="G11" s="16"/>
      <c r="H11" s="16"/>
      <c r="I11" s="1"/>
      <c r="J11" s="16"/>
    </row>
    <row r="12" spans="1:10" ht="24.95" customHeight="1">
      <c r="A12" s="1"/>
      <c r="B12" s="1"/>
      <c r="C12" s="1"/>
      <c r="D12" s="1"/>
      <c r="E12" s="1"/>
      <c r="F12" s="1"/>
      <c r="G12" s="18" t="s">
        <v>35</v>
      </c>
      <c r="H12" s="18">
        <f>SUM(H6:H10)</f>
        <v>25.62</v>
      </c>
      <c r="I12" s="17" t="s">
        <v>36</v>
      </c>
      <c r="J12" s="18">
        <f>SUM(J6:J10)</f>
        <v>18.569999999999997</v>
      </c>
    </row>
    <row r="13" spans="1:10" ht="24.9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.95" customHeight="1">
      <c r="A14" s="11" t="s">
        <v>37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4.95" customHeight="1">
      <c r="A15" s="1" t="s">
        <v>38</v>
      </c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6:J10">
    <cfRule type="expression" dxfId="5" priority="1">
      <formula>$F6&gt;0</formula>
    </cfRule>
  </conditionalFormatting>
  <conditionalFormatting sqref="H12">
    <cfRule type="expression" dxfId="4" priority="2">
      <formula>H12&gt;$E$3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466A"/>
  </sheetPr>
  <dimension ref="A1:O32"/>
  <sheetViews>
    <sheetView showGridLines="0" workbookViewId="0"/>
  </sheetViews>
  <sheetFormatPr defaultRowHeight="14.25"/>
  <cols>
    <col min="1" max="1" width="34" customWidth="1"/>
    <col min="2" max="2" width="19" customWidth="1"/>
    <col min="3" max="3" width="3" customWidth="1"/>
    <col min="4" max="4" width="22" customWidth="1"/>
    <col min="5" max="6" width="19" customWidth="1"/>
    <col min="7" max="7" width="3" customWidth="1"/>
    <col min="8" max="15" width="12" customWidth="1"/>
  </cols>
  <sheetData>
    <row r="1" spans="1:15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95" customHeight="1">
      <c r="A2" s="2" t="s">
        <v>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5.1" customHeight="1">
      <c r="A4" s="4" t="s">
        <v>40</v>
      </c>
      <c r="B4" s="5" t="s">
        <v>2</v>
      </c>
      <c r="C4" s="1"/>
      <c r="D4" s="4" t="s">
        <v>15</v>
      </c>
      <c r="E4" s="12" t="s">
        <v>33</v>
      </c>
      <c r="F4" s="5" t="s">
        <v>41</v>
      </c>
      <c r="G4" s="1"/>
      <c r="H4" s="1"/>
      <c r="I4" s="1"/>
      <c r="J4" s="1"/>
      <c r="K4" s="1"/>
      <c r="L4" s="1"/>
      <c r="M4" s="1"/>
      <c r="N4" s="1"/>
      <c r="O4" s="1"/>
    </row>
    <row r="5" spans="1:15" ht="24.95" customHeight="1">
      <c r="A5" s="1" t="s">
        <v>6</v>
      </c>
      <c r="B5" s="6">
        <f>Setup!B6</f>
        <v>6</v>
      </c>
      <c r="C5" s="1"/>
      <c r="D5" s="1" t="str">
        <f>ShoppingList!A6</f>
        <v>Spaghetti (dry)</v>
      </c>
      <c r="E5" s="7">
        <f>ShoppingList!H6</f>
        <v>2.5</v>
      </c>
      <c r="F5" s="7">
        <f>ShoppingList!J6</f>
        <v>3</v>
      </c>
      <c r="G5" s="1"/>
      <c r="H5" s="1"/>
      <c r="I5" s="1"/>
      <c r="J5" s="1"/>
      <c r="K5" s="1"/>
      <c r="L5" s="1"/>
      <c r="M5" s="1"/>
      <c r="N5" s="1"/>
      <c r="O5" s="1"/>
    </row>
    <row r="6" spans="1:15" ht="24.95" customHeight="1">
      <c r="A6" s="1" t="s">
        <v>42</v>
      </c>
      <c r="B6" s="7">
        <f>ShoppingList!J12</f>
        <v>18.569999999999997</v>
      </c>
      <c r="C6" s="1"/>
      <c r="D6" s="1" t="str">
        <f>ShoppingList!A7</f>
        <v>Guanciale</v>
      </c>
      <c r="E6" s="7">
        <f>ShoppingList!H7</f>
        <v>12</v>
      </c>
      <c r="F6" s="7">
        <f>ShoppingList!J7</f>
        <v>9.6</v>
      </c>
      <c r="G6" s="1"/>
      <c r="H6" s="1"/>
      <c r="I6" s="1"/>
      <c r="J6" s="1"/>
      <c r="K6" s="1"/>
      <c r="L6" s="1"/>
      <c r="M6" s="1"/>
      <c r="N6" s="1"/>
      <c r="O6" s="1"/>
    </row>
    <row r="7" spans="1:15" ht="24.95" customHeight="1">
      <c r="A7" s="1" t="s">
        <v>43</v>
      </c>
      <c r="B7" s="7">
        <f>ROUND(ROUND(B6/B5,8),2)</f>
        <v>3.1</v>
      </c>
      <c r="C7" s="1"/>
      <c r="D7" s="1" t="str">
        <f>ShoppingList!A8</f>
        <v>Egg yolks</v>
      </c>
      <c r="E7" s="7">
        <f>ShoppingList!H8</f>
        <v>1.62</v>
      </c>
      <c r="F7" s="7">
        <f>ShoppingList!J8</f>
        <v>1.62</v>
      </c>
      <c r="G7" s="1"/>
      <c r="H7" s="1"/>
      <c r="I7" s="1"/>
      <c r="J7" s="1"/>
      <c r="K7" s="1"/>
      <c r="L7" s="1"/>
      <c r="M7" s="1"/>
      <c r="N7" s="1"/>
      <c r="O7" s="1"/>
    </row>
    <row r="8" spans="1:15" ht="24.95" customHeight="1">
      <c r="A8" s="10" t="s">
        <v>44</v>
      </c>
      <c r="B8" s="19">
        <f>ShoppingList!H12</f>
        <v>25.62</v>
      </c>
      <c r="C8" s="1"/>
      <c r="D8" s="1" t="str">
        <f>ShoppingList!A9</f>
        <v>Pecorino Romano</v>
      </c>
      <c r="E8" s="7">
        <f>ShoppingList!H9</f>
        <v>7</v>
      </c>
      <c r="F8" s="7">
        <f>ShoppingList!J9</f>
        <v>4.2</v>
      </c>
      <c r="G8" s="1"/>
      <c r="H8" s="1"/>
      <c r="I8" s="1"/>
      <c r="J8" s="1"/>
      <c r="K8" s="1"/>
      <c r="L8" s="1"/>
      <c r="M8" s="1"/>
      <c r="N8" s="1"/>
      <c r="O8" s="1"/>
    </row>
    <row r="9" spans="1:15" ht="24.95" customHeight="1">
      <c r="A9" s="1" t="s">
        <v>8</v>
      </c>
      <c r="B9" s="7">
        <f>Setup!B7</f>
        <v>20</v>
      </c>
      <c r="C9" s="1"/>
      <c r="D9" s="1" t="str">
        <f>ShoppingList!A10</f>
        <v>Black pepper</v>
      </c>
      <c r="E9" s="7">
        <f>ShoppingList!H10</f>
        <v>2.5</v>
      </c>
      <c r="F9" s="7">
        <f>ShoppingList!J10</f>
        <v>0.15</v>
      </c>
      <c r="G9" s="1"/>
      <c r="H9" s="1"/>
      <c r="I9" s="1"/>
      <c r="J9" s="1"/>
      <c r="K9" s="1"/>
      <c r="L9" s="1"/>
      <c r="M9" s="1"/>
      <c r="N9" s="1"/>
      <c r="O9" s="1"/>
    </row>
    <row r="10" spans="1:15" ht="24.95" customHeight="1">
      <c r="A10" s="1" t="s">
        <v>45</v>
      </c>
      <c r="B10" s="7">
        <f>B9-B8</f>
        <v>-5.620000000000001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4.95" customHeight="1">
      <c r="A11" s="1" t="s">
        <v>46</v>
      </c>
      <c r="B11" s="1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4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4.95" customHeight="1">
      <c r="A13" s="11" t="s">
        <v>47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4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4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4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4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4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4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4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4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4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4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4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4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4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4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4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4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4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4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conditionalFormatting sqref="B8">
    <cfRule type="expression" dxfId="3" priority="1">
      <formula>B8&gt;B9</formula>
    </cfRule>
  </conditionalFormatting>
  <conditionalFormatting sqref="B10">
    <cfRule type="cellIs" dxfId="2" priority="2" operator="lessThan">
      <formula>0</formula>
    </cfRule>
  </conditionalFormatting>
  <conditionalFormatting sqref="B11">
    <cfRule type="expression" dxfId="1" priority="3">
      <formula>B8&gt;B9</formula>
    </cfRule>
  </conditionalFormatting>
  <conditionalFormatting sqref="D5:F9">
    <cfRule type="expression" dxfId="0" priority="4">
      <formula>$E5&gt;0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2026-10-03T08:39:29Z</dcterms:modified>
</cp:coreProperties>
</file>