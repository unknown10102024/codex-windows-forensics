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b0be91c47a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a210dc89b239467e"/>
    <x:sheet xmlns:r="http://schemas.openxmlformats.org/officeDocument/2006/relationships" name="Ingredients" sheetId="2" r:id="Rb103ce45eadf4edb"/>
    <x:sheet xmlns:r="http://schemas.openxmlformats.org/officeDocument/2006/relationships" name="ShoppingList" sheetId="3" r:id="Rc3b0a234e653408f"/>
    <x:sheet xmlns:r="http://schemas.openxmlformats.org/officeDocument/2006/relationships" name="Dashboard" sheetId="4" r:id="Rc24c14ae61e842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$&quot;#,##0.00;[Red](&quot;$&quot;#,##0.00);&quot;$&quot;0.00"/>
    <x:numFmt numFmtId="202" formatCode="0.00"/>
  </x:numFmts>
  <x:fonts count="5">
    <x:font>
      <x:sz val="11"/>
      <x:name val="Carlito"/>
    </x:font>
    <x:font>
      <x:sz val="11"/>
      <x:color rgb="FF243447"/>
      <x:name val="Arial"/>
    </x:font>
    <x:font>
      <x:b/>
      <x:sz val="16"/>
      <x:color rgb="FF243447"/>
      <x:name val="Arial"/>
    </x:font>
    <x:font>
      <x:b/>
      <x:sz val="11"/>
      <x:color rgb="FFFFFFFF"/>
      <x:name val="Arial"/>
    </x:font>
    <x:font>
      <x:b/>
      <x:sz val="11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93D52"/>
      </x:patternFill>
    </x:fill>
  </x:fills>
  <x:borders count="3">
    <x:border/>
    <x:border>
      <x:bottom style="thin">
        <x:color rgb="FF293D52"/>
      </x:bottom>
    </x:border>
    <x:border>
      <x:top style="thin">
        <x:color rgb="FF293D52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ill>
        <x:patternFill patternType="solid">
          <x:bgColor rgb="FFE6EFF8"/>
        </x:patternFill>
      </x:fill>
    </x:dxf>
    <x:dxf>
      <x:font>
        <x:b/>
        <x:color rgb="FFA12622"/>
      </x:font>
      <x:fill>
        <x:patternFill patternType="solid">
          <x:bgColor rgb="FFFCE4D6"/>
        </x:patternFill>
      </x:fill>
    </x:dxf>
    <x:dxf>
      <x:font>
        <x:b/>
        <x:color rgb="FFA12622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65a2d65b144fb9" /><Relationship Type="http://schemas.openxmlformats.org/officeDocument/2006/relationships/theme" Target="/xl/theme/theme1.xml" Id="R68e309f4cb4444f9" /><Relationship Type="http://schemas.openxmlformats.org/officeDocument/2006/relationships/sharedStrings" Target="/xl/sharedStrings.xml" Id="R082aae6d07cb4d57" /><Relationship Type="http://schemas.openxmlformats.org/officeDocument/2006/relationships/worksheet" Target="/xl/worksheets/sheet1.xml" Id="Ra210dc89b239467e" /><Relationship Type="http://schemas.openxmlformats.org/officeDocument/2006/relationships/worksheet" Target="/xl/worksheets/sheet2.xml" Id="Rb103ce45eadf4edb" /><Relationship Type="http://schemas.openxmlformats.org/officeDocument/2006/relationships/worksheet" Target="/xl/worksheets/sheet3.xml" Id="Rc3b0a234e653408f" /><Relationship Type="http://schemas.openxmlformats.org/officeDocument/2006/relationships/worksheet" Target="/xl/worksheets/sheet4.xml" Id="Rc24c14ae61e842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1181be0d28436f" /><Relationship Type="http://schemas.openxmlformats.org/officeDocument/2006/relationships/chart" Target="/xl/drawings/charts/chart2.xml" Id="Rd5a6d873499b499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456B8F"/>
            </a:solidFill>
          </c:spPr>
          <c:cat>
            <c:strRef>
              <c:f>'ShoppingList'!$A$7:$A$11</c:f>
              <c:strCache>
                <c:ptCount val="0"/>
              </c:strCache>
            </c:strRef>
          </c:cat>
          <c:val>
            <c:numRef>
              <c:f>'ShoppingList'!$G$7:$G$11</c:f>
              <c:numCache>
                <c:formatCode>"$"#,##0.00;[Red]("$"#,##0.00);"$"0.00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Used-ingredient cost (USD)</c:v>
          </c:tx>
          <c:cat>
            <c:strRef>
              <c:f>'Ingredients'!$A$7:$A$11</c:f>
              <c:strCache>
                <c:ptCount val="0"/>
              </c:strCache>
            </c:strRef>
          </c:cat>
          <c:val>
            <c:numRef>
              <c:f>'Ingredients'!$G$7:$G$11</c:f>
              <c:numCache>
                <c:formatCode>"$"#,##0.00;[Red]("$"#,##0.00);"$"0.00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1181be0d28436f"/>
        </a:graphicData>
      </a:graphic>
    </xdr:graphicFrame>
    <xdr:clientData/>
  </xdr:twoCellAnchor>
  <xdr:twoCellAnchor>
    <xdr:from>
      <xdr:col>3</xdr:col>
      <xdr:colOff>0</xdr:colOff>
      <xdr:row>20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a6d873499b499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6:G11" headerRowCount="1" totalsRowCount="0" totalsRowShown="0">
  <x:autoFilter ref="A6:G11"/>
  <x:tableColumns count="7">
    <x:tableColumn id="1" name="Ingredient"/>
    <x:tableColumn id="2" name="Base quantity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4456db59ea4c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2ad5828fe7d47b3" /></Relationships>
</file>

<file path=xl/worksheets/sheet1.xml><?xml version="1.0" encoding="utf-8"?>
<x:worksheet xmlns:x="http://schemas.openxmlformats.org/spreadsheetml/2006/main">
  <x:sheetPr>
    <x:tabColor rgb="FFCC9C42"/>
  </x:sheetPr>
  <x:sheetViews>
    <x:sheetView showGridLines="0" workbookViewId="0"/>
  </x:sheetViews>
  <x:sheetFormatPr defaultRowHeight="15"/>
  <x:cols>
    <x:col min="1" max="1" width="32" hidden="0" customWidth="1"/>
    <x:col min="2" max="2" width="19" hidden="0" customWidth="1"/>
    <x:col min="3" max="3" width="30" hidden="0" customWidth="1"/>
    <x:col min="4" max="4" width="3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Carbonara meal setup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 t="str">
        <x:v>Base recipe servings</x:v>
      </x:c>
      <x:c r="B5" s="6" t="n">
        <x:v>2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 t="str">
        <x:v>Desired servings</x:v>
      </x:c>
      <x:c r="B6" s="7" t="n">
        <x:v>6</x:v>
      </x:c>
      <x:c r="C6" s="2" t="str">
        <x:v>Editable: whole number, 1–20</x:v>
      </x:c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A7" s="2" t="str">
        <x:v>Shopping budget (USD)</x:v>
      </x:c>
      <x:c r="B7" s="8" t="n">
        <x:v>20</x:v>
      </x:c>
      <x:c r="C7" s="2" t="str">
        <x:v>Editable: zero or greater</x:v>
      </x:c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3" customHeight="1">
      <x:c r="A10" s="2" t="str">
        <x:v>Amber cells are editable inputs.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3" customHeight="1">
      <x:c r="A12" s="2" t="str">
        <x:v>All quantities are grams. Egg yolks exclude shells and whites.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 t="str">
        <x:v>Used cost values the recipe quantity at the package price per gram.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 t="str">
        <x:v>Purchase cost includes whole packages needed after stock is used.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</x:sheetData>
  <x:dataValidations count="2">
    <x:dataValidation type="whole" errorStyle="stop" operator="between" showErrorMessage="1" errorTitle="Invalid servings" error="Enter a whole number from 1 through 20." sqref="B6">
      <x:formula1>1</x:formula1>
      <x:formula2>20</x:formula2>
    </x:dataValidation>
    <x:dataValidation type="decimal" errorStyle="stop" operator="greaterThanOrEqual" showErrorMessage="1" errorTitle="Invalid budget" error="Enter a nonnegative budget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Recipe ingredients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2"/>
      <x:c r="I3" s="2"/>
      <x:c r="J3" s="2"/>
      <x:c r="K3" s="2"/>
      <x:c r="L3" s="2"/>
    </x:row>
    <x:row r="4" ht="23" customHeight="1">
      <x:c r="A4" s="2" t="str">
        <x:v>Source: user-provided illustrative quantities and prices. All quantities in grams.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6" customHeight="1">
      <x:c r="A6" s="12" t="str">
        <x:v>Ingredient</x:v>
      </x:c>
      <x:c r="B6" s="12" t="str">
        <x:v>Base quantity (g)</x:v>
      </x:c>
      <x:c r="C6" s="12" t="str">
        <x:v>Stock available (g)</x:v>
      </x:c>
      <x:c r="D6" s="12" t="str">
        <x:v>Package size (g)</x:v>
      </x:c>
      <x:c r="E6" s="12" t="str">
        <x:v>Package price (USD)</x:v>
      </x:c>
      <x:c r="F6" s="12" t="str">
        <x:v>Required quantity (g)</x:v>
      </x:c>
      <x:c r="G6" s="12" t="str">
        <x:v>Used-ingredient cost (USD)</x:v>
      </x:c>
      <x:c r="H6" s="2"/>
      <x:c r="I6" s="2"/>
      <x:c r="J6" s="2"/>
      <x:c r="K6" s="2"/>
      <x:c r="L6" s="2"/>
    </x:row>
    <x:row r="7" ht="23" customHeight="1">
      <x:c r="A7" s="2" t="str">
        <x:v>Spaghetti (dry)</x:v>
      </x:c>
      <x:c r="B7" s="13" t="n">
        <x:v>200</x:v>
      </x:c>
      <x:c r="C7" s="13" t="n">
        <x:v>100</x:v>
      </x:c>
      <x:c r="D7" s="13" t="n">
        <x:v>500</x:v>
      </x:c>
      <x:c r="E7" s="8" t="n">
        <x:v>2.5</x:v>
      </x:c>
      <x:c r="F7" s="14" t="n">
        <x:f>B7*Setup!$B$6/Setup!$B$5</x:f>
        <x:v>600</x:v>
      </x:c>
      <x:c r="G7" s="15" t="n">
        <x:f>F7/D7*E7</x:f>
        <x:v>3</x:v>
      </x:c>
      <x:c r="H7" s="2"/>
      <x:c r="I7" s="2"/>
      <x:c r="J7" s="2"/>
      <x:c r="K7" s="2"/>
      <x:c r="L7" s="2"/>
    </x:row>
    <x:row r="8" ht="23" customHeight="1">
      <x:c r="A8" s="2" t="str">
        <x:v>Guanciale</x:v>
      </x:c>
      <x:c r="B8" s="13" t="n">
        <x:v>80</x:v>
      </x:c>
      <x:c r="C8" s="13" t="n">
        <x:v>20</x:v>
      </x:c>
      <x:c r="D8" s="13" t="n">
        <x:v>100</x:v>
      </x:c>
      <x:c r="E8" s="8" t="n">
        <x:v>4</x:v>
      </x:c>
      <x:c r="F8" s="14" t="n">
        <x:f>B8*Setup!$B$6/Setup!$B$5</x:f>
        <x:v>240</x:v>
      </x:c>
      <x:c r="G8" s="15" t="n">
        <x:f>F8/D8*E8</x:f>
        <x:v>9.6</x:v>
      </x:c>
      <x:c r="H8" s="2"/>
      <x:c r="I8" s="2"/>
      <x:c r="J8" s="2"/>
      <x:c r="K8" s="2"/>
      <x:c r="L8" s="2"/>
    </x:row>
    <x:row r="9" ht="23" customHeight="1">
      <x:c r="A9" s="2" t="str">
        <x:v>Egg yolks</x:v>
      </x:c>
      <x:c r="B9" s="13" t="n">
        <x:v>36</x:v>
      </x:c>
      <x:c r="C9" s="13" t="n">
        <x:v>0</x:v>
      </x:c>
      <x:c r="D9" s="13" t="n">
        <x:v>36</x:v>
      </x:c>
      <x:c r="E9" s="8" t="n">
        <x:v>0.54</x:v>
      </x:c>
      <x:c r="F9" s="14" t="n">
        <x:f>B9*Setup!$B$6/Setup!$B$5</x:f>
        <x:v>108</x:v>
      </x:c>
      <x:c r="G9" s="15" t="n">
        <x:f>F9/D9*E9</x:f>
        <x:v>1.62</x:v>
      </x:c>
      <x:c r="H9" s="2"/>
      <x:c r="I9" s="2"/>
      <x:c r="J9" s="2"/>
      <x:c r="K9" s="2"/>
      <x:c r="L9" s="2"/>
    </x:row>
    <x:row r="10" ht="23" customHeight="1">
      <x:c r="A10" s="2" t="str">
        <x:v>Pecorino Romano</x:v>
      </x:c>
      <x:c r="B10" s="13" t="n">
        <x:v>40</x:v>
      </x:c>
      <x:c r="C10" s="13" t="n">
        <x:v>10</x:v>
      </x:c>
      <x:c r="D10" s="13" t="n">
        <x:v>100</x:v>
      </x:c>
      <x:c r="E10" s="8" t="n">
        <x:v>3.5</x:v>
      </x:c>
      <x:c r="F10" s="14" t="n">
        <x:f>B10*Setup!$B$6/Setup!$B$5</x:f>
        <x:v>120</x:v>
      </x:c>
      <x:c r="G10" s="15" t="n">
        <x:f>F10/D10*E10</x:f>
        <x:v>4.2</x:v>
      </x:c>
      <x:c r="H10" s="2"/>
      <x:c r="I10" s="2"/>
      <x:c r="J10" s="2"/>
      <x:c r="K10" s="2"/>
      <x:c r="L10" s="2"/>
    </x:row>
    <x:row r="11" ht="23" customHeight="1">
      <x:c r="A11" s="2" t="str">
        <x:v>Black pepper</x:v>
      </x:c>
      <x:c r="B11" s="13" t="n">
        <x:v>1</x:v>
      </x:c>
      <x:c r="C11" s="13" t="n">
        <x:v>2</x:v>
      </x:c>
      <x:c r="D11" s="13" t="n">
        <x:v>50</x:v>
      </x:c>
      <x:c r="E11" s="8" t="n">
        <x:v>2.5</x:v>
      </x:c>
      <x:c r="F11" s="14" t="n">
        <x:f>B11*Setup!$B$6/Setup!$B$5</x:f>
        <x:v>3</x:v>
      </x:c>
      <x:c r="G11" s="15" t="n">
        <x:f>F11/D11*E11</x:f>
        <x:v>0.15</x:v>
      </x:c>
      <x:c r="H11" s="2"/>
      <x:c r="I11" s="2"/>
      <x:c r="J11" s="2"/>
      <x:c r="K11" s="2"/>
      <x:c r="L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</x:sheetData>
  <x:pageMargins left="0.7" right="0.7" top="0.75" bottom="0.75" header="0.3" footer="0.3"/>
  <x:tableParts count="1">
    <x:tablePart xmlns:r="http://schemas.openxmlformats.org/officeDocument/2006/relationships" r:id="R5f4456db59ea4cf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Shopping list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2"/>
      <x:c r="K3" s="2"/>
      <x:c r="L3" s="2"/>
    </x:row>
    <x:row r="4" ht="23" customHeight="1">
      <x:c r="A4" s="2" t="str">
        <x:v>Desired servings</x:v>
      </x:c>
      <x:c r="B4" s="2" t="n">
        <x:f>Setup!B6</x:f>
        <x:v>6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46" customHeight="1">
      <x:c r="A6" s="12" t="str">
        <x:v>Ingredient</x:v>
      </x:c>
      <x:c r="B6" s="12" t="str">
        <x:v>Required (g)</x:v>
      </x:c>
      <x:c r="C6" s="12" t="str">
        <x:v>Stock (g)</x:v>
      </x:c>
      <x:c r="D6" s="12" t="str">
        <x:v>Additional needed (g)</x:v>
      </x:c>
      <x:c r="E6" s="12" t="str">
        <x:v>Package size (g)</x:v>
      </x:c>
      <x:c r="F6" s="12" t="str">
        <x:v>Packages to buy</x:v>
      </x:c>
      <x:c r="G6" s="12" t="str">
        <x:v>Purchase cost (USD)</x:v>
      </x:c>
      <x:c r="H6" s="12" t="str">
        <x:v>Remaining stock (g)</x:v>
      </x:c>
      <x:c r="I6" s="12" t="str">
        <x:v>Used-ingredient cost (USD)</x:v>
      </x:c>
      <x:c r="J6" s="2"/>
      <x:c r="K6" s="2"/>
      <x:c r="L6" s="2"/>
    </x:row>
    <x:row r="7" ht="23" customHeight="1">
      <x:c r="A7" s="2" t="str">
        <x:f>Ingredients!A7</x:f>
        <x:v>Spaghetti (dry)</x:v>
      </x:c>
      <x:c r="B7" s="14" t="n">
        <x:f>Ingredients!F7</x:f>
        <x:v>600</x:v>
      </x:c>
      <x:c r="C7" s="14" t="n">
        <x:f>Ingredients!C7</x:f>
        <x:v>100</x:v>
      </x:c>
      <x:c r="D7" s="14" t="n">
        <x:f>MAX(0,B7-C7)</x:f>
        <x:v>500</x:v>
      </x:c>
      <x:c r="E7" s="14" t="n">
        <x:f>Ingredients!D7</x:f>
        <x:v>500</x:v>
      </x:c>
      <x:c r="F7" s="6" t="n">
        <x:f>ROUNDUP(D7/E7,0)</x:f>
        <x:v>1</x:v>
      </x:c>
      <x:c r="G7" s="15" t="n">
        <x:f>F7*Ingredients!E7</x:f>
        <x:v>2.5</x:v>
      </x:c>
      <x:c r="H7" s="14" t="n">
        <x:f>C7+F7*E7-B7</x:f>
        <x:v>0</x:v>
      </x:c>
      <x:c r="I7" s="15" t="n">
        <x:f>Ingredients!G7</x:f>
        <x:v>3</x:v>
      </x:c>
      <x:c r="J7" s="2"/>
      <x:c r="K7" s="2"/>
      <x:c r="L7" s="2"/>
    </x:row>
    <x:row r="8" ht="23" customHeight="1">
      <x:c r="A8" s="2" t="str">
        <x:f>Ingredients!A8</x:f>
        <x:v>Guanciale</x:v>
      </x:c>
      <x:c r="B8" s="14" t="n">
        <x:f>Ingredients!F8</x:f>
        <x:v>240</x:v>
      </x:c>
      <x:c r="C8" s="14" t="n">
        <x:f>Ingredients!C8</x:f>
        <x:v>20</x:v>
      </x:c>
      <x:c r="D8" s="14" t="n">
        <x:f>MAX(0,B8-C8)</x:f>
        <x:v>220</x:v>
      </x:c>
      <x:c r="E8" s="14" t="n">
        <x:f>Ingredients!D8</x:f>
        <x:v>100</x:v>
      </x:c>
      <x:c r="F8" s="6" t="n">
        <x:f>ROUNDUP(D8/E8,0)</x:f>
        <x:v>3</x:v>
      </x:c>
      <x:c r="G8" s="15" t="n">
        <x:f>F8*Ingredients!E8</x:f>
        <x:v>12</x:v>
      </x:c>
      <x:c r="H8" s="14" t="n">
        <x:f>C8+F8*E8-B8</x:f>
        <x:v>80</x:v>
      </x:c>
      <x:c r="I8" s="15" t="n">
        <x:f>Ingredients!G8</x:f>
        <x:v>9.6</x:v>
      </x:c>
      <x:c r="J8" s="2"/>
      <x:c r="K8" s="2"/>
      <x:c r="L8" s="2"/>
    </x:row>
    <x:row r="9" ht="23" customHeight="1">
      <x:c r="A9" s="2" t="str">
        <x:f>Ingredients!A9</x:f>
        <x:v>Egg yolks</x:v>
      </x:c>
      <x:c r="B9" s="14" t="n">
        <x:f>Ingredients!F9</x:f>
        <x:v>108</x:v>
      </x:c>
      <x:c r="C9" s="14" t="n">
        <x:f>Ingredients!C9</x:f>
        <x:v>0</x:v>
      </x:c>
      <x:c r="D9" s="14" t="n">
        <x:f>MAX(0,B9-C9)</x:f>
        <x:v>108</x:v>
      </x:c>
      <x:c r="E9" s="14" t="n">
        <x:f>Ingredients!D9</x:f>
        <x:v>36</x:v>
      </x:c>
      <x:c r="F9" s="6" t="n">
        <x:f>ROUNDUP(D9/E9,0)</x:f>
        <x:v>3</x:v>
      </x:c>
      <x:c r="G9" s="15" t="n">
        <x:f>F9*Ingredients!E9</x:f>
        <x:v>1.62</x:v>
      </x:c>
      <x:c r="H9" s="14" t="n">
        <x:f>C9+F9*E9-B9</x:f>
        <x:v>0</x:v>
      </x:c>
      <x:c r="I9" s="15" t="n">
        <x:f>Ingredients!G9</x:f>
        <x:v>1.62</x:v>
      </x:c>
      <x:c r="J9" s="2"/>
      <x:c r="K9" s="2"/>
      <x:c r="L9" s="2"/>
    </x:row>
    <x:row r="10" ht="23" customHeight="1">
      <x:c r="A10" s="2" t="str">
        <x:f>Ingredients!A10</x:f>
        <x:v>Pecorino Romano</x:v>
      </x:c>
      <x:c r="B10" s="14" t="n">
        <x:f>Ingredients!F10</x:f>
        <x:v>120</x:v>
      </x:c>
      <x:c r="C10" s="14" t="n">
        <x:f>Ingredients!C10</x:f>
        <x:v>10</x:v>
      </x:c>
      <x:c r="D10" s="14" t="n">
        <x:f>MAX(0,B10-C10)</x:f>
        <x:v>110</x:v>
      </x:c>
      <x:c r="E10" s="14" t="n">
        <x:f>Ingredients!D10</x:f>
        <x:v>100</x:v>
      </x:c>
      <x:c r="F10" s="6" t="n">
        <x:f>ROUNDUP(D10/E10,0)</x:f>
        <x:v>2</x:v>
      </x:c>
      <x:c r="G10" s="15" t="n">
        <x:f>F10*Ingredients!E10</x:f>
        <x:v>7</x:v>
      </x:c>
      <x:c r="H10" s="14" t="n">
        <x:f>C10+F10*E10-B10</x:f>
        <x:v>90</x:v>
      </x:c>
      <x:c r="I10" s="15" t="n">
        <x:f>Ingredients!G10</x:f>
        <x:v>4.2</x:v>
      </x:c>
      <x:c r="J10" s="2"/>
      <x:c r="K10" s="2"/>
      <x:c r="L10" s="2"/>
    </x:row>
    <x:row r="11" ht="23" customHeight="1">
      <x:c r="A11" s="2" t="str">
        <x:f>Ingredients!A11</x:f>
        <x:v>Black pepper</x:v>
      </x:c>
      <x:c r="B11" s="14" t="n">
        <x:f>Ingredients!F11</x:f>
        <x:v>3</x:v>
      </x:c>
      <x:c r="C11" s="14" t="n">
        <x:f>Ingredients!C11</x:f>
        <x:v>2</x:v>
      </x:c>
      <x:c r="D11" s="14" t="n">
        <x:f>MAX(0,B11-C11)</x:f>
        <x:v>1</x:v>
      </x:c>
      <x:c r="E11" s="14" t="n">
        <x:f>Ingredients!D11</x:f>
        <x:v>50</x:v>
      </x:c>
      <x:c r="F11" s="6" t="n">
        <x:f>ROUNDUP(D11/E11,0)</x:f>
        <x:v>1</x:v>
      </x:c>
      <x:c r="G11" s="15" t="n">
        <x:f>F11*Ingredients!E11</x:f>
        <x:v>2.5</x:v>
      </x:c>
      <x:c r="H11" s="14" t="n">
        <x:f>C11+F11*E11-B11</x:f>
        <x:v>49</x:v>
      </x:c>
      <x:c r="I11" s="15" t="n">
        <x:f>Ingredients!G11</x:f>
        <x:v>0.15</x:v>
      </x:c>
      <x:c r="J11" s="2"/>
      <x:c r="K11" s="2"/>
      <x:c r="L11" s="2"/>
    </x:row>
    <x:row r="12" ht="23" customHeight="1">
      <x:c r="A12" s="2"/>
      <x:c r="B12" s="2"/>
      <x:c r="C12" s="2"/>
      <x:c r="D12" s="2"/>
      <x:c r="E12" s="2"/>
      <x:c r="F12" s="2"/>
      <x:c r="G12" s="15"/>
      <x:c r="H12" s="2"/>
      <x:c r="I12" s="15"/>
      <x:c r="J12" s="2"/>
      <x:c r="K12" s="2"/>
      <x:c r="L12" s="2"/>
    </x:row>
    <x:row r="13" ht="23" customHeight="1">
      <x:c r="A13" s="18" t="str">
        <x:v>Total cost</x:v>
      </x:c>
      <x:c r="B13" s="18"/>
      <x:c r="C13" s="18"/>
      <x:c r="D13" s="18"/>
      <x:c r="E13" s="18"/>
      <x:c r="F13" s="18"/>
      <x:c r="G13" s="19" t="n">
        <x:f>SUM(G7:G11)</x:f>
        <x:v>25.62</x:v>
      </x:c>
      <x:c r="H13" s="18"/>
      <x:c r="I13" s="19" t="n">
        <x:f>SUM(I7:I11)</x:f>
        <x:v>18.569999999999997</x:v>
      </x:c>
      <x:c r="J13" s="2"/>
      <x:c r="K13" s="2"/>
      <x:c r="L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</x:sheetData>
  <x:conditionalFormatting sqref="A7:I11">
    <x:cfRule type="expression" dxfId="0" priority="1">
      <x:formula>$F7&gt;0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93D52"/>
  </x:sheetPr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3" t="str">
        <x:v>Carbonara cost dashboard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 t="str">
        <x:v>Desired servings</x:v>
      </x:c>
      <x:c r="B5" s="6" t="n">
        <x:f>Setup!B6</x:f>
        <x:v>6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 t="str">
        <x:v>Total used-ingredient cost</x:v>
      </x:c>
      <x:c r="B6" s="15" t="n">
        <x:f>ShoppingList!I13</x:f>
        <x:v>18.569999999999997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A7" s="2" t="str">
        <x:v>Used cost per serving</x:v>
      </x:c>
      <x:c r="B7" s="15" t="n">
        <x:f>B6/B5</x:f>
        <x:v>3.0949999999999993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16" t="str">
        <x:v>Total purchase cost</x:v>
      </x:c>
      <x:c r="B8" s="17" t="n">
        <x:f>ShoppingList!G13</x:f>
        <x:v>25.62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 t="str">
        <x:v>Shopping budget</x:v>
      </x:c>
      <x:c r="B9" s="15" t="n">
        <x:f>Setup!B7</x:f>
        <x:v>20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3" customHeight="1">
      <x:c r="A10" s="2" t="str">
        <x:v>Budget remaining</x:v>
      </x:c>
      <x:c r="B10" s="15" t="n">
        <x:f>B9-B8</x:f>
        <x:v>-5.620000000000001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3" customHeight="1">
      <x:c r="A11" s="2" t="str">
        <x:v>Budget status</x:v>
      </x:c>
      <x:c r="B11" s="2" t="str">
        <x:f>IF(B8&lt;=B9,"Within budget","Over budget")</x:f>
        <x:v>Over budget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</x:sheetData>
  <x:conditionalFormatting sqref="B8:B8">
    <x:cfRule type="expression" dxfId="1" priority="1">
      <x:formula>B8&gt;B9</x:formula>
    </x:cfRule>
  </x:conditionalFormatting>
  <x:conditionalFormatting sqref="B10:B11">
    <x:cfRule type="expression" dxfId="2" priority="2">
      <x:formula>$B$8&gt;$B$9</x:formula>
    </x:cfRule>
  </x:conditionalFormatting>
  <x:pageMargins left="0.7" right="0.7" top="0.75" bottom="0.75" header="0.3" footer="0.3"/>
  <x:drawing xmlns:r="http://schemas.openxmlformats.org/officeDocument/2006/relationships" r:id="R52ad5828fe7d47b3"/>
</x:worksheet>
</file>