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406443916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ae37f08c468c49fa"/>
    <x:sheet xmlns:r="http://schemas.openxmlformats.org/officeDocument/2006/relationships" name="Ingredients" sheetId="2" r:id="Rf5a9011687d94dac"/>
    <x:sheet xmlns:r="http://schemas.openxmlformats.org/officeDocument/2006/relationships" name="ShoppingList" sheetId="3" r:id="Rb6d909ac39374020"/>
    <x:sheet xmlns:r="http://schemas.openxmlformats.org/officeDocument/2006/relationships" name="Dashboard" sheetId="4" r:id="R42414bd2a983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;[Red]-&quot;$&quot;#,##0.00;&quot;$&quot;0.00"/>
    <x:numFmt numFmtId="202" formatCode="#,##0.0"/>
  </x:numFmts>
  <x:fonts count="11">
    <x:font>
      <x:sz val="11"/>
      <x:name val="Carlito"/>
    </x:font>
    <x:font>
      <x:sz val="11"/>
      <x:color rgb="FF243444"/>
      <x:name val="Arial"/>
    </x:font>
    <x:font>
      <x:b/>
      <x:sz val="17"/>
      <x:color rgb="FF243C50"/>
      <x:name val="Arial"/>
    </x:font>
    <x:font>
      <x:b/>
      <x:sz val="11"/>
      <x:color rgb="FF1B5D87"/>
      <x:name val="Arial"/>
    </x:font>
    <x:font>
      <x:sz val="11"/>
      <x:color rgb="FF566B7B"/>
      <x:name val="Arial"/>
    </x:font>
    <x:font>
      <x:i/>
      <x:sz val="11"/>
      <x:color rgb="FF566B7B"/>
      <x:name val="Arial"/>
    </x:font>
    <x:font>
      <x:b/>
      <x:sz val="11"/>
      <x:color rgb="FFFFFFFF"/>
      <x:name val="Arial"/>
    </x:font>
    <x:font>
      <x:sz val="11"/>
      <x:color rgb="FF1B5D87"/>
      <x:name val="Arial"/>
    </x:font>
    <x:font>
      <x:b/>
      <x:sz val="11"/>
      <x:color rgb="FF243C50"/>
      <x:name val="Arial"/>
    </x:font>
    <x:font>
      <x:b/>
      <x:sz val="13"/>
      <x:color rgb="FF243C50"/>
      <x:name val="Arial"/>
    </x:font>
    <x:font>
      <x:b/>
      <x:sz val="11"/>
      <x:color rgb="FF2434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1F5F8"/>
      </x:patternFill>
    </x:fill>
    <x:fill>
      <x:patternFill patternType="solid">
        <x:fgColor rgb="FFFFF2CC"/>
      </x:patternFill>
    </x:fill>
    <x:fill>
      <x:patternFill patternType="solid">
        <x:fgColor rgb="FF243C50"/>
      </x:patternFill>
    </x:fill>
  </x:fills>
  <x:borders count="6">
    <x:border/>
    <x:border>
      <x:bottom style="thin">
        <x:color rgb="FFBAC8D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879DAE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horizontal="right" vertical="center"/>
    </x:xf>
    <x:xf numFmtId="201" fontId="3" fillId="3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2" fontId="7" fillId="3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7" fillId="3" borderId="0" xfId="0" applyNumberFormat="1" applyFont="1" applyFill="1" applyBorder="1" applyAlignment="1">
      <x:alignment horizontal="right" vertical="center"/>
    </x:xf>
    <x:xf numFmtId="201" fontId="7" fillId="3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201" fontId="8" fillId="0" borderId="5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right" vertical="center"/>
    </x:xf>
    <x:xf numFmtId="200" fontId="9" fillId="2" borderId="0" xfId="0" applyNumberFormat="1" applyFont="1" applyFill="1" applyBorder="1" applyAlignment="1">
      <x:alignment horizontal="right" vertical="center"/>
    </x:xf>
    <x:xf numFmtId="201" fontId="9" fillId="2" borderId="0" xfId="0" applyNumberFormat="1" applyFont="1" applyFill="1" applyBorder="1" applyAlignment="1">
      <x:alignment horizontal="right" vertical="center"/>
    </x:xf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174B73"/>
      </x:font>
      <x:fill>
        <x:patternFill patternType="solid">
          <x:bgColor rgb="FFE7EFF6"/>
        </x:patternFill>
      </x:fill>
    </x:dxf>
    <x:dxf>
      <x:font>
        <x:b/>
        <x:color rgb="FF9C2020"/>
      </x:font>
      <x:fill>
        <x:patternFill patternType="solid">
          <x:bgColor rgb="FFFCE4E1"/>
        </x:patternFill>
      </x:fill>
    </x:dxf>
    <x:dxf>
      <x:font>
        <x:b/>
        <x:color rgb="FF9C2020"/>
      </x:font>
      <x:fill>
        <x:patternFill patternType="solid">
          <x:bgColor rgb="FFFCE4E1"/>
        </x:patternFill>
      </x:fill>
    </x:dxf>
    <x:dxf>
      <x:font>
        <x:b/>
        <x:color rgb="FF9C2020"/>
      </x:font>
      <x:fill>
        <x:patternFill patternType="solid">
          <x:bgColor rgb="FFFCE4E1"/>
        </x:patternFill>
      </x:fill>
    </x:dxf>
    <x:dxf>
      <x:font>
        <x:b/>
        <x:color rgb="FF9C2020"/>
      </x:font>
      <x:fill>
        <x:patternFill patternType="solid">
          <x:bgColor rgb="FFFCE4E1"/>
        </x:patternFill>
      </x:fill>
    </x:dxf>
    <x:dxf>
      <x:font>
        <x:b/>
        <x:color rgb="FF21613E"/>
      </x:font>
      <x:fill>
        <x:patternFill patternType="solid">
          <x:bgColor rgb="FFE7F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0e9db70ac4bf2" /><Relationship Type="http://schemas.openxmlformats.org/officeDocument/2006/relationships/theme" Target="/xl/theme/theme1.xml" Id="R028d0f2338474b83" /><Relationship Type="http://schemas.openxmlformats.org/officeDocument/2006/relationships/sharedStrings" Target="/xl/sharedStrings.xml" Id="R9cdf0e756cc4482f" /><Relationship Type="http://schemas.openxmlformats.org/officeDocument/2006/relationships/worksheet" Target="/xl/worksheets/sheet1.xml" Id="Rae37f08c468c49fa" /><Relationship Type="http://schemas.openxmlformats.org/officeDocument/2006/relationships/worksheet" Target="/xl/worksheets/sheet2.xml" Id="Rf5a9011687d94dac" /><Relationship Type="http://schemas.openxmlformats.org/officeDocument/2006/relationships/worksheet" Target="/xl/worksheets/sheet3.xml" Id="Rb6d909ac39374020" /><Relationship Type="http://schemas.openxmlformats.org/officeDocument/2006/relationships/worksheet" Target="/xl/worksheets/sheet4.xml" Id="R42414bd2a98346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7031802a5d4bec" /><Relationship Type="http://schemas.openxmlformats.org/officeDocument/2006/relationships/chart" Target="/xl/drawings/charts/chart2.xml" Id="Re0793f6a0b7f41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1B5D87"/>
            </a:solidFill>
          </c:spPr>
          <c:cat>
            <c:strRef>
              <c:f>'ShoppingList'!$A$6:$A$10</c:f>
              <c:strCache>
                <c:ptCount val="0"/>
              </c:strCache>
            </c:strRef>
          </c:cat>
          <c:val>
            <c:numRef>
              <c:f>'ShoppingList'!$H$6:$H$10</c:f>
              <c:numCache>
                <c:formatCode>"$"#,##0.00;[Red]-"$"#,##0.00;"$"0.00</c:formatCode>
                <c:ptCount val="0"/>
              </c:numCache>
            </c:numRef>
          </c:val>
        </c:ser>
        <c:gapWidth val="11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'Ingredients'!$A$6:$A$10</c:f>
              <c:strCache>
                <c:ptCount val="0"/>
              </c:strCache>
            </c:strRef>
          </c:cat>
          <c:val>
            <c:numRef>
              <c:f>'Ingredients'!$G$6:$G$10</c:f>
              <c:numCache>
                <c:formatCode>"$"#,##0.00;[Red]-"$"#,##0.00;"$"0.00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7031802a5d4bec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793f6a0b7f41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Ingredients" displayName="tblIngredients" ref="A5:G10" headerRowCount="1" totalsRowCount="0" totalsRowShown="0">
  <x:autoFilter ref="A5:G10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(g)"/>
    <x:tableColumn id="7" name="Used cost (USD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Shopping" displayName="tblShopping" ref="A5:J10" headerRowCount="1" totalsRowCount="0" totalsRowShown="0">
  <x:autoFilter ref="A5:J10"/>
  <x:tableColumns count="10">
    <x:tableColumn id="1" name="Ingredient"/>
    <x:tableColumn id="2" name="Required (g)"/>
    <x:tableColumn id="3" name="Stock available (g)"/>
    <x:tableColumn id="4" name="Additional needed (g)"/>
    <x:tableColumn id="5" name="Package size (g)"/>
    <x:tableColumn id="6" name="Packages to buy"/>
    <x:tableColumn id="7" name="Package price (USD)"/>
    <x:tableColumn id="8" name="Purchase cost (USD)"/>
    <x:tableColumn id="9" name="Stock remaining (g)"/>
    <x:tableColumn id="10" name="Used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1a8f934d7e4c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63ec1812784e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0f81d85e9ee4c5d" /></Relationships>
</file>

<file path=xl/worksheets/sheet1.xml><?xml version="1.0" encoding="utf-8"?>
<x:worksheet xmlns:x="http://schemas.openxmlformats.org/spreadsheetml/2006/main">
  <x:sheetPr>
    <x:tabColor rgb="FF879DAE"/>
  </x:sheetPr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" hidden="0" customWidth="1"/>
    <x:col min="4" max="4" width="53" hidden="0" customWidth="1"/>
  </x:cols>
  <x:sheetData>
    <x:row r="1" ht="24" customHeight="1">
      <x:c r="A1" s="2"/>
      <x:c r="B1" s="2"/>
      <x:c r="C1" s="2"/>
      <x:c r="D1" s="2"/>
    </x:row>
    <x:row r="2" ht="31" customHeight="1">
      <x:c r="A2" s="4" t="str">
        <x:v>Carbonara meal setup</x:v>
      </x:c>
      <x:c r="B2" s="5"/>
      <x:c r="C2" s="5"/>
      <x:c r="D2" s="5"/>
    </x:row>
    <x:row r="3" ht="24" customHeight="1">
      <x:c r="A3" s="2"/>
      <x:c r="B3" s="2"/>
      <x:c r="C3" s="2"/>
      <x:c r="D3" s="2"/>
    </x:row>
    <x:row r="4" ht="24" customHeight="1">
      <x:c r="A4" s="2"/>
      <x:c r="B4" s="2"/>
      <x:c r="C4" s="2"/>
      <x:c r="D4" s="2"/>
    </x:row>
    <x:row r="5" ht="24" customHeight="1">
      <x:c r="A5" s="2" t="str">
        <x:v>Base recipe servings</x:v>
      </x:c>
      <x:c r="B5" s="8" t="n">
        <x:v>2</x:v>
      </x:c>
      <x:c r="C5" s="2"/>
      <x:c r="D5" s="2" t="str">
        <x:v>Recipe quantities below are for this base.</x:v>
      </x:c>
    </x:row>
    <x:row r="6" ht="24" customHeight="1">
      <x:c r="A6" s="2" t="str">
        <x:v>Desired servings</x:v>
      </x:c>
      <x:c r="B6" s="13" t="n">
        <x:v>6</x:v>
      </x:c>
      <x:c r="C6" s="2"/>
      <x:c r="D6" s="2" t="str">
        <x:v>Editable: enter a whole number from 1 to 20.</x:v>
      </x:c>
    </x:row>
    <x:row r="7" ht="24" customHeight="1">
      <x:c r="A7" s="2" t="str">
        <x:v>Shopping budget (USD)</x:v>
      </x:c>
      <x:c r="B7" s="14" t="n">
        <x:v>20</x:v>
      </x:c>
      <x:c r="C7" s="2"/>
      <x:c r="D7" s="2" t="str">
        <x:v>Editable: enter a nonnegative amount.</x:v>
      </x:c>
    </x:row>
    <x:row r="8" ht="24" customHeight="1">
      <x:c r="A8" s="2"/>
      <x:c r="B8" s="2"/>
      <x:c r="C8" s="2"/>
      <x:c r="D8" s="2"/>
    </x:row>
    <x:row r="9" ht="24" customHeight="1">
      <x:c r="A9" s="2"/>
      <x:c r="B9" s="2"/>
      <x:c r="C9" s="2"/>
      <x:c r="D9" s="2"/>
    </x:row>
    <x:row r="10" ht="24" customHeight="1">
      <x:c r="A10" s="15" t="str">
        <x:v>Amber cells are editable inputs.</x:v>
      </x:c>
      <x:c r="B10" s="15"/>
      <x:c r="C10" s="15"/>
      <x:c r="D10" s="15"/>
    </x:row>
    <x:row r="11" ht="24" customHeight="1">
      <x:c r="A11" s="15"/>
      <x:c r="B11" s="15"/>
      <x:c r="C11" s="15"/>
      <x:c r="D11" s="15"/>
    </x:row>
    <x:row r="12" ht="24" customHeight="1">
      <x:c r="A12" s="15" t="str">
        <x:v>Used-ingredient cost values the food consumed, including available stock.</x:v>
      </x:c>
      <x:c r="B12" s="15"/>
      <x:c r="C12" s="15"/>
      <x:c r="D12" s="15"/>
    </x:row>
    <x:row r="13" ht="24" customHeight="1">
      <x:c r="A13" s="15" t="str">
        <x:v>Purchase cost is the cash needed to buy whole packages.</x:v>
      </x:c>
      <x:c r="B13" s="15"/>
      <x:c r="C13" s="15"/>
      <x:c r="D13" s="15"/>
    </x:row>
    <x:row r="14" ht="24" customHeight="1">
      <x:c r="A14" s="2"/>
      <x:c r="B14" s="2"/>
      <x:c r="C14" s="2"/>
      <x:c r="D14" s="2"/>
    </x:row>
    <x:row r="15" ht="24" customHeight="1">
      <x:c r="A15" s="2"/>
      <x:c r="B15" s="2"/>
      <x:c r="C15" s="2"/>
      <x:c r="D15" s="2"/>
    </x:row>
  </x:sheetData>
  <x:dataValidations count="2">
    <x:dataValidation type="whole" errorStyle="stop" operator="between" showErrorMessage="1" errorTitle="Invalid servings" error="Enter a whole number from 1 through 20." sqref="B6">
      <x:formula1>1</x:formula1>
      <x:formula2>20</x:formula2>
    </x:dataValidation>
    <x:dataValidation type="decimal" errorStyle="stop" operator="greaterThanOrEqual" showErrorMessage="1" errorTitle="Invalid value" error="Enter a nonnegative number for the shopping budget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1" hidden="0" customWidth="1"/>
    <x:col min="3" max="3" width="21" hidden="0" customWidth="1"/>
    <x:col min="4" max="4" width="19" hidden="0" customWidth="1"/>
    <x:col min="5" max="5" width="22" hidden="0" customWidth="1"/>
    <x:col min="6" max="6" width="20" hidden="0" customWidth="1"/>
    <x:col min="7" max="7" width="2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1" customHeight="1">
      <x:c r="A2" s="4" t="str">
        <x:v>Carbonara ingredients</x:v>
      </x:c>
      <x:c r="B2" s="5"/>
      <x:c r="C2" s="5"/>
      <x:c r="D2" s="5"/>
      <x:c r="E2" s="5"/>
      <x:c r="F2" s="5"/>
      <x:c r="G2" s="5"/>
    </x:row>
    <x:row r="3" ht="24" customHeight="1">
      <x:c r="A3" s="16" t="str">
        <x:v>Illustrative inputs supplied for this plan. All quantities are in grams.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43" customHeight="1">
      <x:c r="A5" s="21" t="str">
        <x:v>Ingredient</x:v>
      </x:c>
      <x:c r="B5" s="22" t="str">
        <x:v>Base quantity (g)</x:v>
      </x:c>
      <x:c r="C5" s="22" t="str">
        <x:v>Stock available (g)</x:v>
      </x:c>
      <x:c r="D5" s="22" t="str">
        <x:v>Package size (g)</x:v>
      </x:c>
      <x:c r="E5" s="22" t="str">
        <x:v>Package price (USD)</x:v>
      </x:c>
      <x:c r="F5" s="22" t="str">
        <x:v>Required (g)</x:v>
      </x:c>
      <x:c r="G5" s="23" t="str">
        <x:v>Used cost (USD)</x:v>
      </x:c>
    </x:row>
    <x:row r="6" ht="24" customHeight="1">
      <x:c r="A6" s="25" t="str">
        <x:v>Spaghetti (dry)</x:v>
      </x:c>
      <x:c r="B6" s="31" t="n">
        <x:v>200</x:v>
      </x:c>
      <x:c r="C6" s="31" t="n">
        <x:v>100</x:v>
      </x:c>
      <x:c r="D6" s="31" t="n">
        <x:v>500</x:v>
      </x:c>
      <x:c r="E6" s="32" t="n">
        <x:v>2.5</x:v>
      </x:c>
      <x:c r="F6" s="33" t="n">
        <x:f>B6*'Setup'!$B$6/'Setup'!$B$5</x:f>
        <x:v>600</x:v>
      </x:c>
      <x:c r="G6" s="34" t="n">
        <x:f>F6/D6*E6</x:f>
        <x:v>3</x:v>
      </x:c>
    </x:row>
    <x:row r="7" ht="24" customHeight="1">
      <x:c r="A7" s="25" t="str">
        <x:v>Guanciale</x:v>
      </x:c>
      <x:c r="B7" s="31" t="n">
        <x:v>80</x:v>
      </x:c>
      <x:c r="C7" s="31" t="n">
        <x:v>20</x:v>
      </x:c>
      <x:c r="D7" s="31" t="n">
        <x:v>100</x:v>
      </x:c>
      <x:c r="E7" s="32" t="n">
        <x:v>4</x:v>
      </x:c>
      <x:c r="F7" s="33" t="n">
        <x:f>B7*'Setup'!$B$6/'Setup'!$B$5</x:f>
        <x:v>240</x:v>
      </x:c>
      <x:c r="G7" s="34" t="n">
        <x:f>F7/D7*E7</x:f>
        <x:v>9.6</x:v>
      </x:c>
    </x:row>
    <x:row r="8" ht="24" customHeight="1">
      <x:c r="A8" s="25" t="str">
        <x:v>Egg yolks</x:v>
      </x:c>
      <x:c r="B8" s="31" t="n">
        <x:v>36</x:v>
      </x:c>
      <x:c r="C8" s="31" t="n">
        <x:v>0</x:v>
      </x:c>
      <x:c r="D8" s="31" t="n">
        <x:v>36</x:v>
      </x:c>
      <x:c r="E8" s="32" t="n">
        <x:v>0.54</x:v>
      </x:c>
      <x:c r="F8" s="33" t="n">
        <x:f>B8*'Setup'!$B$6/'Setup'!$B$5</x:f>
        <x:v>108</x:v>
      </x:c>
      <x:c r="G8" s="34" t="n">
        <x:f>F8/D8*E8</x:f>
        <x:v>1.62</x:v>
      </x:c>
    </x:row>
    <x:row r="9" ht="24" customHeight="1">
      <x:c r="A9" s="25" t="str">
        <x:v>Pecorino Romano</x:v>
      </x:c>
      <x:c r="B9" s="31" t="n">
        <x:v>40</x:v>
      </x:c>
      <x:c r="C9" s="31" t="n">
        <x:v>10</x:v>
      </x:c>
      <x:c r="D9" s="31" t="n">
        <x:v>100</x:v>
      </x:c>
      <x:c r="E9" s="32" t="n">
        <x:v>3.5</x:v>
      </x:c>
      <x:c r="F9" s="33" t="n">
        <x:f>B9*'Setup'!$B$6/'Setup'!$B$5</x:f>
        <x:v>120</x:v>
      </x:c>
      <x:c r="G9" s="34" t="n">
        <x:f>F9/D9*E9</x:f>
        <x:v>4.2</x:v>
      </x:c>
    </x:row>
    <x:row r="10" ht="24" customHeight="1">
      <x:c r="A10" s="25" t="str">
        <x:v>Black pepper</x:v>
      </x:c>
      <x:c r="B10" s="31" t="n">
        <x:v>1</x:v>
      </x:c>
      <x:c r="C10" s="31" t="n">
        <x:v>2</x:v>
      </x:c>
      <x:c r="D10" s="31" t="n">
        <x:v>50</x:v>
      </x:c>
      <x:c r="E10" s="32" t="n">
        <x:v>2.5</x:v>
      </x:c>
      <x:c r="F10" s="33" t="n">
        <x:f>B10*'Setup'!$B$6/'Setup'!$B$5</x:f>
        <x:v>3</x:v>
      </x:c>
      <x:c r="G10" s="34" t="n">
        <x:f>F10/D10*E10</x:f>
        <x:v>0.15</x:v>
      </x:c>
    </x:row>
    <x:row r="11" ht="24" customHeight="1">
      <x:c r="A11" s="2"/>
      <x:c r="B11" s="2"/>
      <x:c r="C11" s="2"/>
      <x:c r="D11" s="2"/>
      <x:c r="E11" s="2"/>
      <x:c r="F11" s="2"/>
      <x:c r="G11" s="2"/>
    </x:row>
    <x:row r="12" ht="24" customHeight="1">
      <x:c r="A12" s="16" t="str">
        <x:v>Egg yolks are weighed without shells or egg whites.</x:v>
      </x:c>
      <x:c r="B12" s="2"/>
      <x:c r="C12" s="2"/>
      <x:c r="D12" s="2"/>
      <x:c r="E12" s="2"/>
      <x:c r="F12" s="2"/>
      <x:c r="G12" s="2"/>
    </x:row>
    <x:row r="13" ht="24" customHeight="1">
      <x:c r="A13" s="16" t="str">
        <x:v>Amber columns are editable. Required quantity and used cost calculate automatically.</x:v>
      </x:c>
      <x:c r="B13" s="2"/>
      <x:c r="C13" s="2"/>
      <x:c r="D13" s="2"/>
      <x:c r="E13" s="2"/>
      <x:c r="F13" s="2"/>
      <x:c r="G13" s="2"/>
    </x:row>
    <x:row r="14" ht="24" customHeight="1">
      <x:c r="A14" s="2"/>
      <x:c r="B14" s="2"/>
      <x:c r="C14" s="2"/>
      <x:c r="D14" s="2"/>
      <x:c r="E14" s="2"/>
      <x:c r="F14" s="2"/>
      <x:c r="G14" s="2"/>
    </x:row>
  </x:sheetData>
  <x:dataValidations count="3">
    <x:dataValidation type="decimal" errorStyle="stop" operator="greaterThanOrEqual" showErrorMessage="1" errorTitle="Invalid value" error="Enter a nonnegative number for ingredient quantity." sqref="B6:C10">
      <x:formula1>0</x:formula1>
    </x:dataValidation>
    <x:dataValidation type="decimal" errorStyle="stop" operator="greaterThan" showErrorMessage="1" errorTitle="Invalid value" error="Enter a positive number for package size." sqref="D6:D10">
      <x:formula1>0</x:formula1>
    </x:dataValidation>
    <x:dataValidation type="decimal" errorStyle="stop" operator="greaterThanOrEqual" showErrorMessage="1" errorTitle="Invalid value" error="Enter a nonnegative number for package price." sqref="E6:E1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1a8f934d7e4cd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19" hidden="0" customWidth="1"/>
    <x:col min="4" max="4" width="21" hidden="0" customWidth="1"/>
    <x:col min="5" max="5" width="18" hidden="0" customWidth="1"/>
    <x:col min="6" max="6" width="17" hidden="0" customWidth="1"/>
    <x:col min="7" max="7" width="21" hidden="0" customWidth="1"/>
    <x:col min="8" max="8" width="21" hidden="0" customWidth="1"/>
    <x:col min="9" max="9" width="21" hidden="0" customWidth="1"/>
    <x:col min="10" max="10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1" customHeight="1">
      <x:c r="A2" s="4" t="str">
        <x:v>Carbonara shopping list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2" t="str">
        <x:v>Desired servings</x:v>
      </x:c>
      <x:c r="B3" s="6" t="n">
        <x:f>'Setup'!$B$6</x:f>
        <x:v>6</x:v>
      </x:c>
      <x:c r="C3" s="2"/>
      <x:c r="D3" s="2" t="str">
        <x:v>Budget (USD)</x:v>
      </x:c>
      <x:c r="E3" s="7" t="n">
        <x:f>'Setup'!$B$7</x:f>
        <x:v>20</x:v>
      </x:c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3" customHeight="1">
      <x:c r="A5" s="21" t="str">
        <x:v>Ingredient</x:v>
      </x:c>
      <x:c r="B5" s="22" t="str">
        <x:v>Required (g)</x:v>
      </x:c>
      <x:c r="C5" s="22" t="str">
        <x:v>Stock available (g)</x:v>
      </x:c>
      <x:c r="D5" s="22" t="str">
        <x:v>Additional needed (g)</x:v>
      </x:c>
      <x:c r="E5" s="22" t="str">
        <x:v>Package size (g)</x:v>
      </x:c>
      <x:c r="F5" s="22" t="str">
        <x:v>Packages to buy</x:v>
      </x:c>
      <x:c r="G5" s="22" t="str">
        <x:v>Package price (USD)</x:v>
      </x:c>
      <x:c r="H5" s="22" t="str">
        <x:v>Purchase cost (USD)</x:v>
      </x:c>
      <x:c r="I5" s="22" t="str">
        <x:v>Stock remaining (g)</x:v>
      </x:c>
      <x:c r="J5" s="23" t="str">
        <x:v>Used cost (USD)</x:v>
      </x:c>
    </x:row>
    <x:row r="6" ht="24" customHeight="1">
      <x:c r="A6" s="2" t="str">
        <x:f>INDEX(tblIngredients[Ingredient],ROW()-5)</x:f>
        <x:v>Spaghetti (dry)</x:v>
      </x:c>
      <x:c r="B6" s="36" t="n">
        <x:f>INDEX(tblIngredients[Required (g)],ROW()-5)</x:f>
        <x:v>600</x:v>
      </x:c>
      <x:c r="C6" s="36" t="n">
        <x:f>INDEX(tblIngredients[Stock available (g)],ROW()-5)</x:f>
        <x:v>100</x:v>
      </x:c>
      <x:c r="D6" s="36" t="n">
        <x:f>MAX(0,B6-C6)</x:f>
        <x:v>500</x:v>
      </x:c>
      <x:c r="E6" s="36" t="n">
        <x:f>INDEX(tblIngredients[Package size (g)],ROW()-5)</x:f>
        <x:v>500</x:v>
      </x:c>
      <x:c r="F6" s="37" t="n">
        <x:f>ROUNDUP(D6/E6,0)</x:f>
        <x:v>1</x:v>
      </x:c>
      <x:c r="G6" s="38" t="n">
        <x:f>INDEX(tblIngredients[Package price (USD)],ROW()-5)</x:f>
        <x:v>2.5</x:v>
      </x:c>
      <x:c r="H6" s="38" t="n">
        <x:f>F6*G6</x:f>
        <x:v>2.5</x:v>
      </x:c>
      <x:c r="I6" s="36" t="n">
        <x:f>C6+F6*E6-B6</x:f>
        <x:v>0</x:v>
      </x:c>
      <x:c r="J6" s="38" t="n">
        <x:f>INDEX(tblIngredients[Used cost (USD)],ROW()-5)</x:f>
        <x:v>3</x:v>
      </x:c>
    </x:row>
    <x:row r="7" ht="24" customHeight="1">
      <x:c r="A7" s="2" t="str">
        <x:f>INDEX(tblIngredients[Ingredient],ROW()-5)</x:f>
        <x:v>Guanciale</x:v>
      </x:c>
      <x:c r="B7" s="36" t="n">
        <x:f>INDEX(tblIngredients[Required (g)],ROW()-5)</x:f>
        <x:v>240</x:v>
      </x:c>
      <x:c r="C7" s="36" t="n">
        <x:f>INDEX(tblIngredients[Stock available (g)],ROW()-5)</x:f>
        <x:v>20</x:v>
      </x:c>
      <x:c r="D7" s="36" t="n">
        <x:f>MAX(0,B7-C7)</x:f>
        <x:v>220</x:v>
      </x:c>
      <x:c r="E7" s="36" t="n">
        <x:f>INDEX(tblIngredients[Package size (g)],ROW()-5)</x:f>
        <x:v>100</x:v>
      </x:c>
      <x:c r="F7" s="37" t="n">
        <x:f>ROUNDUP(D7/E7,0)</x:f>
        <x:v>3</x:v>
      </x:c>
      <x:c r="G7" s="38" t="n">
        <x:f>INDEX(tblIngredients[Package price (USD)],ROW()-5)</x:f>
        <x:v>4</x:v>
      </x:c>
      <x:c r="H7" s="38" t="n">
        <x:f>F7*G7</x:f>
        <x:v>12</x:v>
      </x:c>
      <x:c r="I7" s="36" t="n">
        <x:f>C7+F7*E7-B7</x:f>
        <x:v>80</x:v>
      </x:c>
      <x:c r="J7" s="38" t="n">
        <x:f>INDEX(tblIngredients[Used cost (USD)],ROW()-5)</x:f>
        <x:v>9.6</x:v>
      </x:c>
    </x:row>
    <x:row r="8" ht="24" customHeight="1">
      <x:c r="A8" s="2" t="str">
        <x:f>INDEX(tblIngredients[Ingredient],ROW()-5)</x:f>
        <x:v>Egg yolks</x:v>
      </x:c>
      <x:c r="B8" s="36" t="n">
        <x:f>INDEX(tblIngredients[Required (g)],ROW()-5)</x:f>
        <x:v>108</x:v>
      </x:c>
      <x:c r="C8" s="36" t="n">
        <x:f>INDEX(tblIngredients[Stock available (g)],ROW()-5)</x:f>
        <x:v>0</x:v>
      </x:c>
      <x:c r="D8" s="36" t="n">
        <x:f>MAX(0,B8-C8)</x:f>
        <x:v>108</x:v>
      </x:c>
      <x:c r="E8" s="36" t="n">
        <x:f>INDEX(tblIngredients[Package size (g)],ROW()-5)</x:f>
        <x:v>36</x:v>
      </x:c>
      <x:c r="F8" s="37" t="n">
        <x:f>ROUNDUP(D8/E8,0)</x:f>
        <x:v>3</x:v>
      </x:c>
      <x:c r="G8" s="38" t="n">
        <x:f>INDEX(tblIngredients[Package price (USD)],ROW()-5)</x:f>
        <x:v>0.54</x:v>
      </x:c>
      <x:c r="H8" s="38" t="n">
        <x:f>F8*G8</x:f>
        <x:v>1.62</x:v>
      </x:c>
      <x:c r="I8" s="36" t="n">
        <x:f>C8+F8*E8-B8</x:f>
        <x:v>0</x:v>
      </x:c>
      <x:c r="J8" s="38" t="n">
        <x:f>INDEX(tblIngredients[Used cost (USD)],ROW()-5)</x:f>
        <x:v>1.62</x:v>
      </x:c>
    </x:row>
    <x:row r="9" ht="24" customHeight="1">
      <x:c r="A9" s="2" t="str">
        <x:f>INDEX(tblIngredients[Ingredient],ROW()-5)</x:f>
        <x:v>Pecorino Romano</x:v>
      </x:c>
      <x:c r="B9" s="36" t="n">
        <x:f>INDEX(tblIngredients[Required (g)],ROW()-5)</x:f>
        <x:v>120</x:v>
      </x:c>
      <x:c r="C9" s="36" t="n">
        <x:f>INDEX(tblIngredients[Stock available (g)],ROW()-5)</x:f>
        <x:v>10</x:v>
      </x:c>
      <x:c r="D9" s="36" t="n">
        <x:f>MAX(0,B9-C9)</x:f>
        <x:v>110</x:v>
      </x:c>
      <x:c r="E9" s="36" t="n">
        <x:f>INDEX(tblIngredients[Package size (g)],ROW()-5)</x:f>
        <x:v>100</x:v>
      </x:c>
      <x:c r="F9" s="37" t="n">
        <x:f>ROUNDUP(D9/E9,0)</x:f>
        <x:v>2</x:v>
      </x:c>
      <x:c r="G9" s="38" t="n">
        <x:f>INDEX(tblIngredients[Package price (USD)],ROW()-5)</x:f>
        <x:v>3.5</x:v>
      </x:c>
      <x:c r="H9" s="38" t="n">
        <x:f>F9*G9</x:f>
        <x:v>7</x:v>
      </x:c>
      <x:c r="I9" s="36" t="n">
        <x:f>C9+F9*E9-B9</x:f>
        <x:v>90</x:v>
      </x:c>
      <x:c r="J9" s="38" t="n">
        <x:f>INDEX(tblIngredients[Used cost (USD)],ROW()-5)</x:f>
        <x:v>4.2</x:v>
      </x:c>
    </x:row>
    <x:row r="10" ht="24" customHeight="1">
      <x:c r="A10" s="2" t="str">
        <x:f>INDEX(tblIngredients[Ingredient],ROW()-5)</x:f>
        <x:v>Black pepper</x:v>
      </x:c>
      <x:c r="B10" s="36" t="n">
        <x:f>INDEX(tblIngredients[Required (g)],ROW()-5)</x:f>
        <x:v>3</x:v>
      </x:c>
      <x:c r="C10" s="36" t="n">
        <x:f>INDEX(tblIngredients[Stock available (g)],ROW()-5)</x:f>
        <x:v>2</x:v>
      </x:c>
      <x:c r="D10" s="36" t="n">
        <x:f>MAX(0,B10-C10)</x:f>
        <x:v>1</x:v>
      </x:c>
      <x:c r="E10" s="36" t="n">
        <x:f>INDEX(tblIngredients[Package size (g)],ROW()-5)</x:f>
        <x:v>50</x:v>
      </x:c>
      <x:c r="F10" s="37" t="n">
        <x:f>ROUNDUP(D10/E10,0)</x:f>
        <x:v>1</x:v>
      </x:c>
      <x:c r="G10" s="38" t="n">
        <x:f>INDEX(tblIngredients[Package price (USD)],ROW()-5)</x:f>
        <x:v>2.5</x:v>
      </x:c>
      <x:c r="H10" s="38" t="n">
        <x:f>F10*G10</x:f>
        <x:v>2.5</x:v>
      </x:c>
      <x:c r="I10" s="36" t="n">
        <x:f>C10+F10*E10-B10</x:f>
        <x:v>49</x:v>
      </x:c>
      <x:c r="J10" s="38" t="n">
        <x:f>INDEX(tblIngredients[Used cost (USD)],ROW()-5)</x:f>
        <x:v>0.15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40" t="str">
        <x:v>Totals (USD)</x:v>
      </x:c>
      <x:c r="B12" s="40"/>
      <x:c r="C12" s="40"/>
      <x:c r="D12" s="40"/>
      <x:c r="E12" s="40"/>
      <x:c r="F12" s="40"/>
      <x:c r="G12" s="40"/>
      <x:c r="H12" s="41" t="n">
        <x:f>SUM(H6:H10)</x:f>
        <x:v>25.62</x:v>
      </x:c>
      <x:c r="I12" s="41"/>
      <x:c r="J12" s="41" t="n">
        <x:f>SUM(J6:J10)</x:f>
        <x:v>18.569999999999997</x:v>
      </x:c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16" t="str">
        <x:v>Blue rows require a purchase. Zero-purchase ingredients remain listed.</x:v>
      </x:c>
      <x:c r="B14" s="2"/>
      <x:c r="C14" s="2"/>
      <x:c r="D14" s="2"/>
      <x:c r="E14" s="2"/>
      <x:c r="F14" s="2"/>
      <x:c r="G14" s="2"/>
      <x:c r="H14" s="2"/>
      <x:c r="I14" s="2"/>
      <x:c r="J14" s="2"/>
    </x:row>
  </x:sheetData>
  <x:conditionalFormatting sqref="A6:J10">
    <x:cfRule type="expression" dxfId="0" priority="1">
      <x:formula>$F6&gt;0</x:formula>
    </x:cfRule>
  </x:conditionalFormatting>
  <x:conditionalFormatting sqref="H12:H12">
    <x:cfRule type="expression" dxfId="1" priority="2">
      <x:formula>H12&gt;$E$3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63ec1812784e54"/>
  </x:tableParts>
</x:worksheet>
</file>

<file path=xl/worksheets/sheet4.xml><?xml version="1.0" encoding="utf-8"?>
<x:worksheet xmlns:x="http://schemas.openxmlformats.org/spreadsheetml/2006/main">
  <x:sheetPr>
    <x:tabColor rgb="FF243C50"/>
  </x:sheetPr>
  <x:sheetViews>
    <x:sheetView showGridLines="0" workbookViewId="0"/>
  </x:sheetViews>
  <x:sheetFormatPr defaultRowHeight="15"/>
  <x:cols>
    <x:col min="1" max="1" width="46" hidden="0" customWidth="1"/>
    <x:col min="2" max="2" width="18" hidden="0" customWidth="1"/>
    <x:col min="3" max="3" width="3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1" customHeight="1">
      <x:c r="A2" s="4" t="str">
        <x:v>Carbonara cost dashboard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1" customHeight="1">
      <x:c r="A5" s="2" t="str">
        <x:v>Desired servings</x:v>
      </x:c>
      <x:c r="B5" s="44" t="n">
        <x:f>'Setup'!$B$6</x:f>
        <x:v>6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1" customHeight="1">
      <x:c r="A6" s="2" t="str">
        <x:v>Total used-ingredient cost (USD)</x:v>
      </x:c>
      <x:c r="B6" s="45" t="n">
        <x:f>'ShoppingList'!$J$12</x:f>
        <x:v>18.569999999999997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1" customHeight="1">
      <x:c r="A7" s="2" t="str">
        <x:v>Used-ingredient cost per serving (USD)</x:v>
      </x:c>
      <x:c r="B7" s="45" t="n">
        <x:f>ROUND(ROUND(B6/B5,10),2)</x:f>
        <x:v>3.1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31" customHeight="1">
      <x:c r="A8" s="2" t="str">
        <x:v>Total purchase cost (USD)</x:v>
      </x:c>
      <x:c r="B8" s="45" t="n">
        <x:f>'ShoppingList'!$H$12</x:f>
        <x:v>25.62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31" customHeight="1">
      <x:c r="A9" s="2" t="str">
        <x:v>Shopping budget (USD)</x:v>
      </x:c>
      <x:c r="B9" s="45" t="n">
        <x:f>'Setup'!$B$7</x:f>
        <x:v>20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31" customHeight="1">
      <x:c r="A10" s="2" t="str">
        <x:v>Budget remaining (USD)</x:v>
      </x:c>
      <x:c r="B10" s="45" t="n">
        <x:f>B9-B8</x:f>
        <x:v>-5.620000000000001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31" customHeight="1">
      <x:c r="A12" s="2" t="str">
        <x:v>Budget status</x:v>
      </x:c>
      <x:c r="B12" s="46" t="str">
        <x:f>IF(B8&lt;=B9,"Within budget","Over budget")</x:f>
        <x:v>Over budget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</x:sheetData>
  <x:conditionalFormatting sqref="B8:B8">
    <x:cfRule type="expression" dxfId="2" priority="1">
      <x:formula>B8&gt;B9</x:formula>
    </x:cfRule>
  </x:conditionalFormatting>
  <x:conditionalFormatting sqref="B10:B10">
    <x:cfRule type="expression" dxfId="3" priority="2">
      <x:formula>B10&lt;0</x:formula>
    </x:cfRule>
  </x:conditionalFormatting>
  <x:conditionalFormatting sqref="B12:B12">
    <x:cfRule type="expression" dxfId="4" priority="3">
      <x:formula>$B$8&gt;$B$9</x:formula>
    </x:cfRule>
    <x:cfRule type="expression" dxfId="5" priority="4">
      <x:formula>$B$8&lt;=$B$9</x:formula>
    </x:cfRule>
  </x:conditionalFormatting>
  <x:pageMargins left="0.7" right="0.7" top="0.75" bottom="0.75" header="0.3" footer="0.3"/>
  <x:drawing xmlns:r="http://schemas.openxmlformats.org/officeDocument/2006/relationships" r:id="R10f81d85e9ee4c5d"/>
</x:worksheet>
</file>