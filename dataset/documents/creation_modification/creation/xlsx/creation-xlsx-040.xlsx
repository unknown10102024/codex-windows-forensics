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18960bf45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00ab336121a14fa9"/>
    <x:sheet xmlns:r="http://schemas.openxmlformats.org/officeDocument/2006/relationships" name="Ingredients" sheetId="2" r:id="Re88ec4f328854e30"/>
    <x:sheet xmlns:r="http://schemas.openxmlformats.org/officeDocument/2006/relationships" name="ShoppingList" sheetId="3" r:id="Rbc859023d1524219"/>
    <x:sheet xmlns:r="http://schemas.openxmlformats.org/officeDocument/2006/relationships" name="Dashboard" sheetId="4" r:id="R92e6f2269186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0.##"/>
    <x:numFmt numFmtId="202" formatCode="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B63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E2F0E8"/>
        </x:patternFill>
      </x:fill>
    </x:dxf>
    <x:dxf>
      <x:font>
        <x:b/>
        <x:color rgb="FFA32323"/>
      </x:font>
      <x:fill>
        <x:patternFill patternType="solid">
          <x:bgColor rgb="FFFCE1DF"/>
        </x:patternFill>
      </x:fill>
    </x:dxf>
    <x:dxf>
      <x:font>
        <x:b/>
        <x:color rgb="FFA32323"/>
      </x:font>
      <x:fill>
        <x:patternFill patternType="solid">
          <x:bgColor rgb="FFFCE1DF"/>
        </x:patternFill>
      </x:fill>
    </x:dxf>
    <x:dxf>
      <x:font>
        <x:b/>
        <x:color rgb="FFA32323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a1de7c7d24fec" /><Relationship Type="http://schemas.openxmlformats.org/officeDocument/2006/relationships/theme" Target="/xl/theme/theme1.xml" Id="R5fd349afe0c242a6" /><Relationship Type="http://schemas.openxmlformats.org/officeDocument/2006/relationships/sharedStrings" Target="/xl/sharedStrings.xml" Id="R9fa5f20c3dea4708" /><Relationship Type="http://schemas.openxmlformats.org/officeDocument/2006/relationships/worksheet" Target="/xl/worksheets/sheet1.xml" Id="R00ab336121a14fa9" /><Relationship Type="http://schemas.openxmlformats.org/officeDocument/2006/relationships/worksheet" Target="/xl/worksheets/sheet2.xml" Id="Re88ec4f328854e30" /><Relationship Type="http://schemas.openxmlformats.org/officeDocument/2006/relationships/worksheet" Target="/xl/worksheets/sheet3.xml" Id="Rbc859023d1524219" /><Relationship Type="http://schemas.openxmlformats.org/officeDocument/2006/relationships/worksheet" Target="/xl/worksheets/sheet4.xml" Id="R92e6f22691864a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8cf9a2f9a94184" /><Relationship Type="http://schemas.openxmlformats.org/officeDocument/2006/relationships/chart" Target="/xl/drawings/charts/chart2.xml" Id="R6a17f7f49e094f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47D9E"/>
            </a:solidFill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Used cost (USD)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'Dashboard'!$C$16:$C$20</c:f>
              <c:numCache>
                <c:formatCode>"$"#,##0.00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8cf9a2f9a94184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17f7f49e094f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897cd19ca7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cadcd5a14f24910" /></Relationships>
</file>

<file path=xl/worksheets/sheet1.xml><?xml version="1.0" encoding="utf-8"?>
<x:worksheet xmlns:x="http://schemas.openxmlformats.org/spreadsheetml/2006/main">
  <x:sheetPr>
    <x:tabColor rgb="FFD6A947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8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9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Edit yellow cells to plan servings and budget.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All weights are in grams. Egg yolks exclude whites and shells.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Illustrative data supplied for this meal plan. Yellow cells are editable.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7" t="str">
        <x:v>Ingredient</x:v>
      </x:c>
      <x:c r="B5" s="7" t="str">
        <x:v>Base quantity for 2 servings (g)</x:v>
      </x:c>
      <x:c r="C5" s="7" t="str">
        <x:v>Stock available (g)</x:v>
      </x:c>
      <x:c r="D5" s="7" t="str">
        <x:v>Package size (g)</x:v>
      </x:c>
      <x:c r="E5" s="7" t="str">
        <x:v>Package price (USD)</x:v>
      </x:c>
      <x:c r="F5" s="7" t="str">
        <x:v>Required quantity (g)</x:v>
      </x:c>
      <x:c r="G5" s="7" t="str">
        <x:v>Used-ingredient cost (USD)</x:v>
      </x:c>
      <x:c r="H5" s="1"/>
      <x:c r="I5" s="1"/>
      <x:c r="J5" s="1"/>
      <x:c r="K5" s="1"/>
      <x:c r="L5" s="1"/>
    </x:row>
    <x:row r="6" ht="23" customHeight="1">
      <x:c r="A6" s="1" t="str">
        <x:v>Spaghetti (dry)</x:v>
      </x:c>
      <x:c r="B6" s="10" t="n">
        <x:v>200</x:v>
      </x:c>
      <x:c r="C6" s="10" t="n">
        <x:v>100</x:v>
      </x:c>
      <x:c r="D6" s="10" t="n">
        <x:v>500</x:v>
      </x:c>
      <x:c r="E6" s="9" t="n">
        <x:v>2.5</x:v>
      </x:c>
      <x:c r="F6" s="11" t="n">
        <x:f>B6*'Setup'!$B$6/'Setup'!$B$5</x:f>
        <x:v>600</x:v>
      </x:c>
      <x:c r="G6" s="12" t="n">
        <x:f>F6/D6*E6</x:f>
        <x:v>3</x:v>
      </x:c>
      <x:c r="H6" s="1"/>
      <x:c r="I6" s="1"/>
      <x:c r="J6" s="1"/>
      <x:c r="K6" s="1"/>
      <x:c r="L6" s="1"/>
    </x:row>
    <x:row r="7" ht="23" customHeight="1">
      <x:c r="A7" s="1" t="str">
        <x:v>Guanciale</x:v>
      </x:c>
      <x:c r="B7" s="10" t="n">
        <x:v>80</x:v>
      </x:c>
      <x:c r="C7" s="10" t="n">
        <x:v>20</x:v>
      </x:c>
      <x:c r="D7" s="10" t="n">
        <x:v>100</x:v>
      </x:c>
      <x:c r="E7" s="9" t="n">
        <x:v>4</x:v>
      </x:c>
      <x:c r="F7" s="11" t="n">
        <x:f>B7*'Setup'!$B$6/'Setup'!$B$5</x:f>
        <x:v>240</x:v>
      </x:c>
      <x:c r="G7" s="12" t="n">
        <x:f>F7/D7*E7</x:f>
        <x:v>9.6</x:v>
      </x:c>
      <x:c r="H7" s="1"/>
      <x:c r="I7" s="1"/>
      <x:c r="J7" s="1"/>
      <x:c r="K7" s="1"/>
      <x:c r="L7" s="1"/>
    </x:row>
    <x:row r="8" ht="23" customHeight="1">
      <x:c r="A8" s="1" t="str">
        <x:v>Egg yolks</x:v>
      </x:c>
      <x:c r="B8" s="10" t="n">
        <x:v>36</x:v>
      </x:c>
      <x:c r="C8" s="10" t="n">
        <x:v>0</x:v>
      </x:c>
      <x:c r="D8" s="10" t="n">
        <x:v>36</x:v>
      </x:c>
      <x:c r="E8" s="9" t="n">
        <x:v>0.54</x:v>
      </x:c>
      <x:c r="F8" s="11" t="n">
        <x:f>B8*'Setup'!$B$6/'Setup'!$B$5</x:f>
        <x:v>108</x:v>
      </x:c>
      <x:c r="G8" s="12" t="n">
        <x:f>F8/D8*E8</x:f>
        <x:v>1.62</x:v>
      </x:c>
      <x:c r="H8" s="1"/>
      <x:c r="I8" s="1"/>
      <x:c r="J8" s="1"/>
      <x:c r="K8" s="1"/>
      <x:c r="L8" s="1"/>
    </x:row>
    <x:row r="9" ht="23" customHeight="1">
      <x:c r="A9" s="1" t="str">
        <x:v>Pecorino Romano</x:v>
      </x:c>
      <x:c r="B9" s="10" t="n">
        <x:v>40</x:v>
      </x:c>
      <x:c r="C9" s="10" t="n">
        <x:v>10</x:v>
      </x:c>
      <x:c r="D9" s="10" t="n">
        <x:v>100</x:v>
      </x:c>
      <x:c r="E9" s="9" t="n">
        <x:v>3.5</x:v>
      </x:c>
      <x:c r="F9" s="11" t="n">
        <x:f>B9*'Setup'!$B$6/'Setup'!$B$5</x:f>
        <x:v>120</x:v>
      </x:c>
      <x:c r="G9" s="12" t="n">
        <x:f>F9/D9*E9</x:f>
        <x:v>4.2</x:v>
      </x:c>
      <x:c r="H9" s="1"/>
      <x:c r="I9" s="1"/>
      <x:c r="J9" s="1"/>
      <x:c r="K9" s="1"/>
      <x:c r="L9" s="1"/>
    </x:row>
    <x:row r="10" ht="23" customHeight="1">
      <x:c r="A10" s="1" t="str">
        <x:v>Black pepper</x:v>
      </x:c>
      <x:c r="B10" s="10" t="n">
        <x:v>1</x:v>
      </x:c>
      <x:c r="C10" s="10" t="n">
        <x:v>2</x:v>
      </x:c>
      <x:c r="D10" s="10" t="n">
        <x:v>50</x:v>
      </x:c>
      <x:c r="E10" s="9" t="n">
        <x:v>2.5</x:v>
      </x:c>
      <x:c r="F10" s="11" t="n">
        <x:f>B10*'Setup'!$B$6/'Setup'!$B$5</x:f>
        <x:v>3</x:v>
      </x:c>
      <x:c r="G10" s="12" t="n">
        <x:f>F10/D10*E10</x:f>
        <x:v>0.15</x:v>
      </x:c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tableParts count="1">
    <x:tablePart xmlns:r="http://schemas.openxmlformats.org/officeDocument/2006/relationships" r:id="Rb5897cd19ca743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Desired servings</x:v>
      </x:c>
      <x:c r="B3" s="1" t="n">
        <x:f>'Setup'!B6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7" t="str">
        <x:v>Ingredient</x:v>
      </x:c>
      <x:c r="B5" s="7" t="str">
        <x:v>Required quantity (g)</x:v>
      </x:c>
      <x:c r="C5" s="7" t="str">
        <x:v>Stock available (g)</x:v>
      </x:c>
      <x:c r="D5" s="7" t="str">
        <x:v>Additional needed (g)</x:v>
      </x:c>
      <x:c r="E5" s="7" t="str">
        <x:v>Package size (g)</x:v>
      </x:c>
      <x:c r="F5" s="7" t="str">
        <x:v>Packages to buy</x:v>
      </x:c>
      <x:c r="G5" s="7" t="str">
        <x:v>Purchase cost (USD)</x:v>
      </x:c>
      <x:c r="H5" s="7" t="str">
        <x:v>Stock after cooking (g)</x:v>
      </x:c>
      <x:c r="I5" s="7" t="str">
        <x:v>Used-ingredient cost (USD)</x:v>
      </x:c>
      <x:c r="J5" s="1"/>
      <x:c r="K5" s="1"/>
      <x:c r="L5" s="1"/>
    </x:row>
    <x:row r="6" ht="23" customHeight="1">
      <x:c r="A6" s="1" t="str">
        <x:f>'Ingredients'!A6</x:f>
        <x:v>Spaghetti (dry)</x:v>
      </x:c>
      <x:c r="B6" s="11" t="n">
        <x:f>'Ingredients'!F6</x:f>
        <x:v>600</x:v>
      </x:c>
      <x:c r="C6" s="11" t="n">
        <x:f>'Ingredients'!C6</x:f>
        <x:v>100</x:v>
      </x:c>
      <x:c r="D6" s="11" t="n">
        <x:f>MAX(B6-C6,0)</x:f>
        <x:v>500</x:v>
      </x:c>
      <x:c r="E6" s="11" t="n">
        <x:f>'Ingredients'!D6</x:f>
        <x:v>500</x:v>
      </x:c>
      <x:c r="F6" s="13" t="n">
        <x:f>ROUNDUP(D6/E6,0)</x:f>
        <x:v>1</x:v>
      </x:c>
      <x:c r="G6" s="12" t="n">
        <x:f>F6*'Ingredients'!E6</x:f>
        <x:v>2.5</x:v>
      </x:c>
      <x:c r="H6" s="11" t="n">
        <x:f>C6+F6*E6-B6</x:f>
        <x:v>0</x:v>
      </x:c>
      <x:c r="I6" s="12" t="n">
        <x:f>'Ingredients'!G6</x:f>
        <x:v>3</x:v>
      </x:c>
      <x:c r="J6" s="1"/>
      <x:c r="K6" s="1"/>
      <x:c r="L6" s="1"/>
    </x:row>
    <x:row r="7" ht="23" customHeight="1">
      <x:c r="A7" s="1" t="str">
        <x:f>'Ingredients'!A7</x:f>
        <x:v>Guanciale</x:v>
      </x:c>
      <x:c r="B7" s="11" t="n">
        <x:f>'Ingredients'!F7</x:f>
        <x:v>240</x:v>
      </x:c>
      <x:c r="C7" s="11" t="n">
        <x:f>'Ingredients'!C7</x:f>
        <x:v>20</x:v>
      </x:c>
      <x:c r="D7" s="11" t="n">
        <x:f>MAX(B7-C7,0)</x:f>
        <x:v>220</x:v>
      </x:c>
      <x:c r="E7" s="11" t="n">
        <x:f>'Ingredients'!D7</x:f>
        <x:v>100</x:v>
      </x:c>
      <x:c r="F7" s="13" t="n">
        <x:f>ROUNDUP(D7/E7,0)</x:f>
        <x:v>3</x:v>
      </x:c>
      <x:c r="G7" s="12" t="n">
        <x:f>F7*'Ingredients'!E7</x:f>
        <x:v>12</x:v>
      </x:c>
      <x:c r="H7" s="11" t="n">
        <x:f>C7+F7*E7-B7</x:f>
        <x:v>80</x:v>
      </x:c>
      <x:c r="I7" s="12" t="n">
        <x:f>'Ingredients'!G7</x:f>
        <x:v>9.6</x:v>
      </x:c>
      <x:c r="J7" s="1"/>
      <x:c r="K7" s="1"/>
      <x:c r="L7" s="1"/>
    </x:row>
    <x:row r="8" ht="23" customHeight="1">
      <x:c r="A8" s="1" t="str">
        <x:f>'Ingredients'!A8</x:f>
        <x:v>Egg yolks</x:v>
      </x:c>
      <x:c r="B8" s="11" t="n">
        <x:f>'Ingredients'!F8</x:f>
        <x:v>108</x:v>
      </x:c>
      <x:c r="C8" s="11" t="n">
        <x:f>'Ingredients'!C8</x:f>
        <x:v>0</x:v>
      </x:c>
      <x:c r="D8" s="11" t="n">
        <x:f>MAX(B8-C8,0)</x:f>
        <x:v>108</x:v>
      </x:c>
      <x:c r="E8" s="11" t="n">
        <x:f>'Ingredients'!D8</x:f>
        <x:v>36</x:v>
      </x:c>
      <x:c r="F8" s="13" t="n">
        <x:f>ROUNDUP(D8/E8,0)</x:f>
        <x:v>3</x:v>
      </x:c>
      <x:c r="G8" s="12" t="n">
        <x:f>F8*'Ingredients'!E8</x:f>
        <x:v>1.62</x:v>
      </x:c>
      <x:c r="H8" s="11" t="n">
        <x:f>C8+F8*E8-B8</x:f>
        <x:v>0</x:v>
      </x:c>
      <x:c r="I8" s="12" t="n">
        <x:f>'Ingredients'!G8</x:f>
        <x:v>1.62</x:v>
      </x:c>
      <x:c r="J8" s="1"/>
      <x:c r="K8" s="1"/>
      <x:c r="L8" s="1"/>
    </x:row>
    <x:row r="9" ht="23" customHeight="1">
      <x:c r="A9" s="1" t="str">
        <x:f>'Ingredients'!A9</x:f>
        <x:v>Pecorino Romano</x:v>
      </x:c>
      <x:c r="B9" s="11" t="n">
        <x:f>'Ingredients'!F9</x:f>
        <x:v>120</x:v>
      </x:c>
      <x:c r="C9" s="11" t="n">
        <x:f>'Ingredients'!C9</x:f>
        <x:v>10</x:v>
      </x:c>
      <x:c r="D9" s="11" t="n">
        <x:f>MAX(B9-C9,0)</x:f>
        <x:v>110</x:v>
      </x:c>
      <x:c r="E9" s="11" t="n">
        <x:f>'Ingredients'!D9</x:f>
        <x:v>100</x:v>
      </x:c>
      <x:c r="F9" s="13" t="n">
        <x:f>ROUNDUP(D9/E9,0)</x:f>
        <x:v>2</x:v>
      </x:c>
      <x:c r="G9" s="12" t="n">
        <x:f>F9*'Ingredients'!E9</x:f>
        <x:v>7</x:v>
      </x:c>
      <x:c r="H9" s="11" t="n">
        <x:f>C9+F9*E9-B9</x:f>
        <x:v>90</x:v>
      </x:c>
      <x:c r="I9" s="12" t="n">
        <x:f>'Ingredients'!G9</x:f>
        <x:v>4.2</x:v>
      </x:c>
      <x:c r="J9" s="1"/>
      <x:c r="K9" s="1"/>
      <x:c r="L9" s="1"/>
    </x:row>
    <x:row r="10" ht="23" customHeight="1">
      <x:c r="A10" s="1" t="str">
        <x:f>'Ingredients'!A10</x:f>
        <x:v>Black pepper</x:v>
      </x:c>
      <x:c r="B10" s="11" t="n">
        <x:f>'Ingredients'!F10</x:f>
        <x:v>3</x:v>
      </x:c>
      <x:c r="C10" s="11" t="n">
        <x:f>'Ingredients'!C10</x:f>
        <x:v>2</x:v>
      </x:c>
      <x:c r="D10" s="11" t="n">
        <x:f>MAX(B10-C10,0)</x:f>
        <x:v>1</x:v>
      </x:c>
      <x:c r="E10" s="11" t="n">
        <x:f>'Ingredients'!D10</x:f>
        <x:v>50</x:v>
      </x:c>
      <x:c r="F10" s="13" t="n">
        <x:f>ROUNDUP(D10/E10,0)</x:f>
        <x:v>1</x:v>
      </x:c>
      <x:c r="G10" s="12" t="n">
        <x:f>F10*'Ingredients'!E10</x:f>
        <x:v>2.5</x:v>
      </x:c>
      <x:c r="H10" s="11" t="n">
        <x:f>C10+F10*E10-B10</x:f>
        <x:v>49</x:v>
      </x:c>
      <x:c r="I10" s="12" t="n">
        <x:f>'Ingredients'!G10</x:f>
        <x:v>0.15</x:v>
      </x:c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2"/>
      <x:c r="H11" s="1"/>
      <x:c r="I11" s="12"/>
      <x:c r="J11" s="1"/>
      <x:c r="K11" s="1"/>
      <x:c r="L11" s="1"/>
    </x:row>
    <x:row r="12" ht="23" customHeight="1">
      <x:c r="A12" s="14" t="str">
        <x:v>Total cost (USD)</x:v>
      </x:c>
      <x:c r="B12" s="14"/>
      <x:c r="C12" s="14"/>
      <x:c r="D12" s="14"/>
      <x:c r="E12" s="14"/>
      <x:c r="F12" s="14"/>
      <x:c r="G12" s="15" t="n">
        <x:f>SUM(G6:G10)</x:f>
        <x:v>25.62</x:v>
      </x:c>
      <x:c r="H12" s="14"/>
      <x:c r="I12" s="15" t="n">
        <x:f>SUM(I6:I10)</x:f>
        <x:v>18.569999999999997</x:v>
      </x:c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conditionalFormatting sqref="A6:I10">
    <x:cfRule type="expression" dxfId="0" priority="1">
      <x:formula>$F6&gt;0</x:formula>
    </x:cfRule>
  </x:conditionalFormatting>
  <x:conditionalFormatting sqref="G12:G12">
    <x:cfRule type="expression" dxfId="1" priority="2">
      <x:formula>G12&gt;'Setup'!$B$7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04B63"/>
  </x:sheetPr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Meal summary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'Setup'!B6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</x:v>
      </x:c>
      <x:c r="B6" s="12" t="n">
        <x:f>'ShoppingList'!I12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12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Total purchase cost</x:v>
      </x:c>
      <x:c r="B8" s="12" t="n">
        <x:f>'ShoppingList'!G12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Shopping budget</x:v>
      </x:c>
      <x:c r="B9" s="12" t="n">
        <x:f>'Setup'!B7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2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44" customHeight="1">
      <x:c r="A15" s="7" t="str">
        <x:v>Ingredient</x:v>
      </x:c>
      <x:c r="B15" s="7" t="str">
        <x:v>Purchase cost (USD)</x:v>
      </x:c>
      <x:c r="C15" s="7" t="str">
        <x:v>Used cost (USD)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'ShoppingList'!A6</x:f>
        <x:v>Spaghetti (dry)</x:v>
      </x:c>
      <x:c r="B16" s="12" t="n">
        <x:f>'ShoppingList'!G6</x:f>
        <x:v>2.5</x:v>
      </x:c>
      <x:c r="C16" s="12" t="n">
        <x:f>'ShoppingList'!I6</x:f>
        <x:v>3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'ShoppingList'!A7</x:f>
        <x:v>Guanciale</x:v>
      </x:c>
      <x:c r="B17" s="12" t="n">
        <x:f>'ShoppingList'!G7</x:f>
        <x:v>12</x:v>
      </x:c>
      <x:c r="C17" s="12" t="n">
        <x:f>'ShoppingList'!I7</x:f>
        <x:v>9.6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'ShoppingList'!A8</x:f>
        <x:v>Egg yolks</x:v>
      </x:c>
      <x:c r="B18" s="12" t="n">
        <x:f>'ShoppingList'!G8</x:f>
        <x:v>1.62</x:v>
      </x:c>
      <x:c r="C18" s="12" t="n">
        <x:f>'ShoppingList'!I8</x:f>
        <x:v>1.62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f>'ShoppingList'!A9</x:f>
        <x:v>Pecorino Romano</x:v>
      </x:c>
      <x:c r="B19" s="12" t="n">
        <x:f>'ShoppingList'!G9</x:f>
        <x:v>7</x:v>
      </x:c>
      <x:c r="C19" s="12" t="n">
        <x:f>'ShoppingList'!I9</x:f>
        <x:v>4.2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f>'ShoppingList'!A10</x:f>
        <x:v>Black pepper</x:v>
      </x:c>
      <x:c r="B20" s="12" t="n">
        <x:f>'ShoppingList'!G10</x:f>
        <x:v>2.5</x:v>
      </x:c>
      <x:c r="C20" s="12" t="n">
        <x:f>'ShoppingList'!I10</x:f>
        <x:v>0.15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conditionalFormatting sqref="B8:B8">
    <x:cfRule type="expression" dxfId="2" priority="1">
      <x:formula>B8&gt;B9</x:formula>
    </x:cfRule>
  </x:conditionalFormatting>
  <x:conditionalFormatting sqref="B11:B11">
    <x:cfRule type="expression" dxfId="3" priority="2">
      <x:formula>B8&gt;B9</x:formula>
    </x:cfRule>
  </x:conditionalFormatting>
  <x:pageMargins left="0.7" right="0.7" top="0.75" bottom="0.75" header="0.3" footer="0.3"/>
  <x:drawing xmlns:r="http://schemas.openxmlformats.org/officeDocument/2006/relationships" r:id="Rdcadcd5a14f24910"/>
</x:worksheet>
</file>