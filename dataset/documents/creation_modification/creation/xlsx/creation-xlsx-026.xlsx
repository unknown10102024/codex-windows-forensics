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83b627c13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fdd2bc0db6f94b0f"/>
    <x:sheet xmlns:r="http://schemas.openxmlformats.org/officeDocument/2006/relationships" name="Ingredients" sheetId="2" r:id="Rf87df0aafc5d4e81"/>
    <x:sheet xmlns:r="http://schemas.openxmlformats.org/officeDocument/2006/relationships" name="ShoppingList" sheetId="3" r:id="R5921dd5c36954eb5"/>
    <x:sheet xmlns:r="http://schemas.openxmlformats.org/officeDocument/2006/relationships" name="Dashboard" sheetId="4" r:id="R32d21f0e3a34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;(&quot;$&quot;#,##0.00);&quot;$&quot;0.00"/>
    <x:numFmt numFmtId="202" formatCode="#,##0.0"/>
  </x:numFmts>
  <x:fonts count="9">
    <x:font>
      <x:sz val="11"/>
      <x:name val="Carlito"/>
    </x:font>
    <x:font>
      <x:sz val="11"/>
      <x:color rgb="FF24324A"/>
      <x:name val="Arial"/>
    </x:font>
    <x:font>
      <x:b/>
      <x:sz val="17"/>
      <x:color rgb="FF294568"/>
      <x:name val="Arial"/>
    </x:font>
    <x:font>
      <x:b/>
      <x:sz val="11"/>
      <x:color rgb="FF1557B0"/>
      <x:name val="Arial"/>
    </x:font>
    <x:font>
      <x:i/>
      <x:sz val="11"/>
      <x:color rgb="FF657388"/>
      <x:name val="Arial"/>
    </x:font>
    <x:font>
      <x:b/>
      <x:sz val="11"/>
      <x:color rgb="FFFFFFFF"/>
      <x:name val="Arial"/>
    </x:font>
    <x:font>
      <x:sz val="11"/>
      <x:color rgb="FF1557B0"/>
      <x:name val="Arial"/>
    </x:font>
    <x:font>
      <x:sz val="11"/>
      <x:color rgb="FF246348"/>
      <x:name val="Arial"/>
    </x:font>
    <x:font>
      <x:b/>
      <x:sz val="11"/>
      <x:color rgb="FF2432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0F4F8"/>
      </x:patternFill>
    </x:fill>
    <x:fill>
      <x:patternFill patternType="solid">
        <x:fgColor rgb="FFFFF2CC"/>
      </x:patternFill>
    </x:fill>
    <x:fill>
      <x:patternFill patternType="solid">
        <x:fgColor rgb="FF294568"/>
      </x:patternFill>
    </x:fill>
  </x:fills>
  <x:borders count="8">
    <x:border/>
    <x:border>
      <x:bottom style="thin">
        <x:color rgb="FFCBD5E1"/>
      </x:bottom>
    </x:border>
    <x:border>
      <x:left style="thin">
        <x:color rgb="FFD8B966"/>
      </x:left>
      <x:right style="thin">
        <x:color rgb="FFD8B966"/>
      </x:right>
      <x:top style="thin">
        <x:color rgb="FFD8B966"/>
      </x:top>
    </x:border>
    <x:border>
      <x:left style="thin">
        <x:color rgb="FFD8B966"/>
      </x:left>
      <x:right style="thin">
        <x:color rgb="FFD8B966"/>
      </x:right>
      <x:bottom style="thin">
        <x:color rgb="FFD8B966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CBD5E1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3" fillId="3" borderId="0" xfId="0" applyNumberFormat="1" applyFont="1" applyFill="1" applyBorder="1" applyAlignment="1">
      <x:alignment horizontal="right" vertical="center"/>
    </x:xf>
    <x:xf numFmtId="201" fontId="3" fillId="3" borderId="0" xfId="0" applyNumberFormat="1" applyFont="1" applyFill="1" applyBorder="1" applyAlignment="1">
      <x:alignment horizontal="right" vertical="center"/>
    </x:xf>
    <x:xf numFmtId="200" fontId="3" fillId="3" borderId="2" xfId="0" applyNumberFormat="1" applyFont="1" applyFill="1" applyBorder="1" applyAlignment="1">
      <x:alignment horizontal="right" vertical="center"/>
    </x:xf>
    <x:xf numFmtId="201" fontId="3" fillId="3" borderId="3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6" fillId="3" borderId="0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horizontal="right"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lef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0" fontId="8" fillId="2" borderId="7" xfId="0" applyNumberFormat="1" applyFont="1" applyFill="1" applyBorder="1" applyAlignment="1">
      <x:alignment vertical="center"/>
    </x:xf>
    <x:xf numFmtId="201" fontId="8" fillId="2" borderId="7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8" fillId="2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7">
    <x:dxf>
      <x:fill>
        <x:patternFill patternType="solid">
          <x:bgColor rgb="FFE6F0FA"/>
        </x:patternFill>
      </x:fill>
    </x:dxf>
    <x:dxf>
      <x:font>
        <x:b/>
        <x:color rgb="FF294568"/>
      </x:font>
    </x:dxf>
    <x:dxf>
      <x:font>
        <x:b/>
        <x:color rgb="FF9C2525"/>
      </x:font>
      <x:fill>
        <x:patternFill patternType="solid">
          <x:bgColor rgb="FFFCE4D6"/>
        </x:patternFill>
      </x:fill>
    </x:dxf>
    <x:dxf>
      <x:font>
        <x:b/>
        <x:color rgb="FF9C2525"/>
      </x:font>
      <x:fill>
        <x:patternFill patternType="solid">
          <x:bgColor rgb="FFFCE4D6"/>
        </x:patternFill>
      </x:fill>
    </x:dxf>
    <x:dxf>
      <x:font>
        <x:b/>
        <x:color rgb="FF9C2525"/>
      </x:font>
      <x:fill>
        <x:patternFill patternType="solid">
          <x:bgColor rgb="FFFCE4D6"/>
        </x:patternFill>
      </x:fill>
    </x:dxf>
    <x:dxf>
      <x:font>
        <x:b/>
        <x:color rgb="FF9C2525"/>
      </x:font>
      <x:fill>
        <x:patternFill patternType="solid">
          <x:bgColor rgb="FFFCE4D6"/>
        </x:patternFill>
      </x:fill>
    </x:dxf>
    <x:dxf>
      <x:fill>
        <x:patternFill patternType="solid">
          <x:bgColor rgb="FFE6F0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d2df4115d4c41" /><Relationship Type="http://schemas.openxmlformats.org/officeDocument/2006/relationships/theme" Target="/xl/theme/theme1.xml" Id="R6078723d1d724f6c" /><Relationship Type="http://schemas.openxmlformats.org/officeDocument/2006/relationships/sharedStrings" Target="/xl/sharedStrings.xml" Id="Rbfef3c69f4ad4fc5" /><Relationship Type="http://schemas.openxmlformats.org/officeDocument/2006/relationships/worksheet" Target="/xl/worksheets/sheet1.xml" Id="Rfdd2bc0db6f94b0f" /><Relationship Type="http://schemas.openxmlformats.org/officeDocument/2006/relationships/worksheet" Target="/xl/worksheets/sheet2.xml" Id="Rf87df0aafc5d4e81" /><Relationship Type="http://schemas.openxmlformats.org/officeDocument/2006/relationships/worksheet" Target="/xl/worksheets/sheet3.xml" Id="R5921dd5c36954eb5" /><Relationship Type="http://schemas.openxmlformats.org/officeDocument/2006/relationships/worksheet" Target="/xl/worksheets/sheet4.xml" Id="R32d21f0e3a344d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7ff023c1444438" /><Relationship Type="http://schemas.openxmlformats.org/officeDocument/2006/relationships/chart" Target="/xl/drawings/charts/chart2.xml" Id="R4e0c37a79382457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294568"/>
            </a:solidFill>
          </c:spPr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'Dashboard'!$B$17:$B$21</c:f>
              <c:numCache>
                <c:formatCode>"$"#,##0.00;("$"#,##0.00);"$"0.00</c:formatCode>
                <c:ptCount val="0"/>
              </c:numCache>
            </c:numRef>
          </c:val>
        </c:ser>
        <c:dLbls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9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Share of used 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'Dashboard'!$C$17:$C$21</c:f>
              <c:numCache>
                <c:formatCode>"$"#,##0.00;("$"#,##0.00);"$"0.00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7ff023c1444438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0c37a79382457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Data" displayName="IngredientData" ref="A5:G10" headerRowCount="1" totalsRowCount="0" totalsRowShown="0">
  <x:autoFilter ref="A5:G10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 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3ae1e7269b4a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ee300659dda4f0e" /></Relationships>
</file>

<file path=xl/worksheets/sheet1.xml><?xml version="1.0" encoding="utf-8"?>
<x:worksheet xmlns:x="http://schemas.openxmlformats.org/spreadsheetml/2006/main">
  <x:sheetPr>
    <x:tabColor rgb="FF50739C"/>
  </x:sheetPr>
  <x:sheetViews>
    <x:sheetView showGridLines="0" workbookViewId="0"/>
  </x:sheetViews>
  <x:sheetFormatPr defaultRowHeight="15"/>
  <x:cols>
    <x:col min="1" max="1" width="35" hidden="0" customWidth="1"/>
    <x:col min="2" max="2" width="3" hidden="0" customWidth="1"/>
    <x:col min="3" max="3" width="19" hidden="0" customWidth="1"/>
    <x:col min="4" max="4" width="3" hidden="0" customWidth="1"/>
    <x:col min="5" max="5" width="34" hidden="0" customWidth="1"/>
    <x:col min="6" max="6" width="34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1" customHeight="1">
      <x:c r="A2" s="4" t="str">
        <x:v>Carbonara meal setup</x:v>
      </x:c>
      <x:c r="B2" s="5"/>
      <x:c r="C2" s="5"/>
      <x:c r="D2" s="5"/>
      <x:c r="E2" s="5"/>
      <x:c r="F2" s="5"/>
    </x:row>
    <x:row r="3" ht="25" customHeight="1">
      <x:c r="A3" s="2"/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2" t="str">
        <x:v>Base recipe (servings)</x:v>
      </x:c>
      <x:c r="B5" s="2"/>
      <x:c r="C5" s="10" t="n">
        <x:v>2</x:v>
      </x:c>
      <x:c r="D5" s="2"/>
      <x:c r="E5" s="2" t="str">
        <x:v>Recipe quantities are for 2 servings.</x:v>
      </x:c>
      <x:c r="F5" s="2"/>
    </x:row>
    <x:row r="6" ht="25" customHeight="1">
      <x:c r="A6" s="2" t="str">
        <x:v>Desired servings</x:v>
      </x:c>
      <x:c r="B6" s="2"/>
      <x:c r="C6" s="15" t="n">
        <x:v>6</x:v>
      </x:c>
      <x:c r="D6" s="2"/>
      <x:c r="E6" s="2" t="str">
        <x:v>Enter a whole number from 1 to 20.</x:v>
      </x:c>
      <x:c r="F6" s="2"/>
    </x:row>
    <x:row r="7" ht="25" customHeight="1">
      <x:c r="A7" s="2" t="str">
        <x:v>Shopping budget (USD)</x:v>
      </x:c>
      <x:c r="B7" s="2"/>
      <x:c r="C7" s="16" t="n">
        <x:v>20</x:v>
      </x:c>
      <x:c r="D7" s="2"/>
      <x:c r="E7" s="2" t="str">
        <x:v>Enter a nonnegative budget in USD.</x:v>
      </x:c>
      <x:c r="F7" s="2"/>
    </x:row>
    <x:row r="8" ht="25" customHeight="1">
      <x:c r="A8" s="2"/>
      <x:c r="B8" s="2"/>
      <x:c r="C8" s="2"/>
      <x:c r="D8" s="2"/>
      <x:c r="E8" s="2"/>
      <x:c r="F8" s="2"/>
    </x:row>
    <x:row r="9" ht="25" customHeight="1">
      <x:c r="A9" s="2"/>
      <x:c r="B9" s="2"/>
      <x:c r="C9" s="2"/>
      <x:c r="D9" s="2"/>
      <x:c r="E9" s="2"/>
      <x:c r="F9" s="2"/>
    </x:row>
    <x:row r="10" ht="25" customHeight="1">
      <x:c r="A10" s="17" t="str">
        <x:v>Yellow cells are editable inputs.</x:v>
      </x:c>
      <x:c r="B10" s="2"/>
      <x:c r="C10" s="2"/>
      <x:c r="D10" s="2"/>
      <x:c r="E10" s="2"/>
      <x:c r="F10" s="2"/>
    </x:row>
    <x:row r="11" ht="25" customHeight="1">
      <x:c r="A11" s="2"/>
      <x:c r="B11" s="2"/>
      <x:c r="C11" s="2"/>
      <x:c r="D11" s="2"/>
      <x:c r="E11" s="2"/>
      <x:c r="F11" s="2"/>
    </x:row>
    <x:row r="12" ht="25" customHeight="1">
      <x:c r="A12" s="17" t="str">
        <x:v>Required quantity = base quantity × desired servings ÷ base servings.</x:v>
      </x:c>
      <x:c r="B12" s="2"/>
      <x:c r="C12" s="2"/>
      <x:c r="D12" s="2"/>
      <x:c r="E12" s="2"/>
      <x:c r="F12" s="2"/>
    </x:row>
    <x:row r="13" ht="25" customHeight="1">
      <x:c r="A13" s="17" t="str">
        <x:v>Used ingredient cost values all recipe quantities at the package price per gram.</x:v>
      </x:c>
      <x:c r="B13" s="2"/>
      <x:c r="C13" s="2"/>
      <x:c r="D13" s="2"/>
      <x:c r="E13" s="2"/>
      <x:c r="F13" s="2"/>
    </x:row>
    <x:row r="14" ht="25" customHeight="1">
      <x:c r="A14" s="17" t="str">
        <x:v>Purchase cost covers whole packages needed after using available stock.</x:v>
      </x:c>
      <x:c r="B14" s="2"/>
      <x:c r="C14" s="2"/>
      <x:c r="D14" s="2"/>
      <x:c r="E14" s="2"/>
      <x:c r="F14" s="2"/>
    </x:row>
    <x:row r="15" ht="25" customHeight="1">
      <x:c r="A15" s="2"/>
      <x:c r="B15" s="2"/>
      <x:c r="C15" s="2"/>
      <x:c r="D15" s="2"/>
      <x:c r="E15" s="2"/>
      <x:c r="F15" s="2"/>
    </x:row>
    <x:row r="16" ht="25" customHeight="1">
      <x:c r="A16" s="2"/>
      <x:c r="B16" s="2"/>
      <x:c r="C16" s="2"/>
      <x:c r="D16" s="2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</x:sheetData>
  <x:dataValidations count="2">
    <x:dataValidation type="whole" errorStyle="stop" operator="between" showInputMessage="1" showErrorMessage="1" errorTitle="Invalid servings" error="Enter a whole number from 1 to 20." promptTitle="Desired servings" prompt="Enter a whole number from 1 to 20." sqref="C6">
      <x:formula1>1</x:formula1>
      <x:formula2>20</x:formula2>
    </x:dataValidation>
    <x:dataValidation type="decimal" errorStyle="stop" operator="greaterThanOrEqual" showInputMessage="1" showErrorMessage="1" errorTitle="Invalid budget" error="The budget must be a nonnegative number." promptTitle="Shopping budget" prompt="Enter a nonnegative amount in USD." sqref="C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1" customHeight="1">
      <x:c r="A2" s="4" t="str">
        <x:v>Carbonara ingredients</x:v>
      </x:c>
      <x:c r="B2" s="5"/>
      <x:c r="C2" s="5"/>
      <x:c r="D2" s="5"/>
      <x:c r="E2" s="5"/>
      <x:c r="F2" s="5"/>
      <x:c r="G2" s="5"/>
    </x:row>
    <x:row r="3" ht="25" customHeight="1">
      <x:c r="A3" s="17" t="str">
        <x:v>Source: user-provided illustrative quantities and prices.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48" customHeight="1">
      <x:c r="A5" s="26" t="str">
        <x:v>Ingredient</x:v>
      </x:c>
      <x:c r="B5" s="27" t="str">
        <x:v>Base quantity (g)</x:v>
      </x:c>
      <x:c r="C5" s="27" t="str">
        <x:v>Stock available (g)</x:v>
      </x:c>
      <x:c r="D5" s="27" t="str">
        <x:v>Package size (g)</x:v>
      </x:c>
      <x:c r="E5" s="27" t="str">
        <x:v>Package price (USD)</x:v>
      </x:c>
      <x:c r="F5" s="27" t="str">
        <x:v>Required quantity (g)</x:v>
      </x:c>
      <x:c r="G5" s="28" t="str">
        <x:v>Used ingredient cost (USD)</x:v>
      </x:c>
    </x:row>
    <x:row r="6" ht="25" customHeight="1">
      <x:c r="A6" s="29" t="str">
        <x:v>Spaghetti (dry)</x:v>
      </x:c>
      <x:c r="B6" s="33" t="n">
        <x:v>200</x:v>
      </x:c>
      <x:c r="C6" s="33" t="n">
        <x:v>100</x:v>
      </x:c>
      <x:c r="D6" s="33" t="n">
        <x:v>500</x:v>
      </x:c>
      <x:c r="E6" s="34" t="n">
        <x:v>2.5</x:v>
      </x:c>
      <x:c r="F6" s="35" t="n">
        <x:f>B6*'Setup'!$C$6/'Setup'!$C$5</x:f>
        <x:v>600</x:v>
      </x:c>
      <x:c r="G6" s="9" t="n">
        <x:f>F6/D6*E6</x:f>
        <x:v>3</x:v>
      </x:c>
    </x:row>
    <x:row r="7" ht="25" customHeight="1">
      <x:c r="A7" s="29" t="str">
        <x:v>Guanciale</x:v>
      </x:c>
      <x:c r="B7" s="33" t="n">
        <x:v>80</x:v>
      </x:c>
      <x:c r="C7" s="33" t="n">
        <x:v>20</x:v>
      </x:c>
      <x:c r="D7" s="33" t="n">
        <x:v>100</x:v>
      </x:c>
      <x:c r="E7" s="34" t="n">
        <x:v>4</x:v>
      </x:c>
      <x:c r="F7" s="35" t="n">
        <x:f>B7*'Setup'!$C$6/'Setup'!$C$5</x:f>
        <x:v>240</x:v>
      </x:c>
      <x:c r="G7" s="9" t="n">
        <x:f>F7/D7*E7</x:f>
        <x:v>9.6</x:v>
      </x:c>
    </x:row>
    <x:row r="8" ht="25" customHeight="1">
      <x:c r="A8" s="29" t="str">
        <x:v>Egg yolks</x:v>
      </x:c>
      <x:c r="B8" s="33" t="n">
        <x:v>36</x:v>
      </x:c>
      <x:c r="C8" s="33" t="n">
        <x:v>0</x:v>
      </x:c>
      <x:c r="D8" s="33" t="n">
        <x:v>36</x:v>
      </x:c>
      <x:c r="E8" s="34" t="n">
        <x:v>0.54</x:v>
      </x:c>
      <x:c r="F8" s="35" t="n">
        <x:f>B8*'Setup'!$C$6/'Setup'!$C$5</x:f>
        <x:v>108</x:v>
      </x:c>
      <x:c r="G8" s="9" t="n">
        <x:f>F8/D8*E8</x:f>
        <x:v>1.62</x:v>
      </x:c>
    </x:row>
    <x:row r="9" ht="25" customHeight="1">
      <x:c r="A9" s="29" t="str">
        <x:v>Pecorino Romano</x:v>
      </x:c>
      <x:c r="B9" s="33" t="n">
        <x:v>40</x:v>
      </x:c>
      <x:c r="C9" s="33" t="n">
        <x:v>10</x:v>
      </x:c>
      <x:c r="D9" s="33" t="n">
        <x:v>100</x:v>
      </x:c>
      <x:c r="E9" s="34" t="n">
        <x:v>3.5</x:v>
      </x:c>
      <x:c r="F9" s="35" t="n">
        <x:f>B9*'Setup'!$C$6/'Setup'!$C$5</x:f>
        <x:v>120</x:v>
      </x:c>
      <x:c r="G9" s="9" t="n">
        <x:f>F9/D9*E9</x:f>
        <x:v>4.2</x:v>
      </x:c>
    </x:row>
    <x:row r="10" ht="25" customHeight="1">
      <x:c r="A10" s="29" t="str">
        <x:v>Black pepper</x:v>
      </x:c>
      <x:c r="B10" s="33" t="n">
        <x:v>1</x:v>
      </x:c>
      <x:c r="C10" s="33" t="n">
        <x:v>2</x:v>
      </x:c>
      <x:c r="D10" s="33" t="n">
        <x:v>50</x:v>
      </x:c>
      <x:c r="E10" s="34" t="n">
        <x:v>2.5</x:v>
      </x:c>
      <x:c r="F10" s="35" t="n">
        <x:f>B10*'Setup'!$C$6/'Setup'!$C$5</x:f>
        <x:v>3</x:v>
      </x:c>
      <x:c r="G10" s="9" t="n">
        <x:f>F10/D10*E10</x:f>
        <x:v>0.15</x:v>
      </x:c>
    </x:row>
    <x:row r="11" ht="25" customHeight="1">
      <x:c r="A11" s="2"/>
      <x:c r="B11" s="2"/>
      <x:c r="C11" s="2"/>
      <x:c r="D11" s="2"/>
      <x:c r="E11" s="2"/>
      <x:c r="F11" s="2"/>
      <x:c r="G11" s="2"/>
    </x:row>
    <x:row r="12" ht="25" customHeight="1">
      <x:c r="A12" s="17" t="str">
        <x:v>All quantities and package sizes are in grams. Yellow cells are editable.</x:v>
      </x:c>
      <x:c r="B12" s="2"/>
      <x:c r="C12" s="2"/>
      <x:c r="D12" s="2"/>
      <x:c r="E12" s="2"/>
      <x:c r="F12" s="2"/>
      <x:c r="G12" s="2"/>
    </x:row>
    <x:row r="13" ht="25" customHeight="1">
      <x:c r="A13" s="17" t="str">
        <x:v>Egg yolks are weighed without shells or egg whites.</x:v>
      </x:c>
      <x:c r="B13" s="2"/>
      <x:c r="C13" s="2"/>
      <x:c r="D13" s="2"/>
      <x:c r="E13" s="2"/>
      <x:c r="F13" s="2"/>
      <x:c r="G13" s="2"/>
    </x:row>
    <x:row r="14" ht="25" customHeight="1">
      <x:c r="A14" s="2"/>
      <x:c r="B14" s="2"/>
      <x:c r="C14" s="2"/>
      <x:c r="D14" s="2"/>
      <x:c r="E14" s="2"/>
      <x:c r="F14" s="2"/>
      <x:c r="G14" s="2"/>
    </x:row>
    <x:row r="15" ht="25" customHeight="1">
      <x:c r="A15" s="2"/>
      <x:c r="B15" s="2"/>
      <x:c r="C15" s="2"/>
      <x:c r="D15" s="2"/>
      <x:c r="E15" s="2"/>
      <x:c r="F15" s="2"/>
      <x:c r="G15" s="2"/>
    </x:row>
  </x:sheetData>
  <x:dataValidations count="3">
    <x:dataValidation type="decimal" errorStyle="stop" operator="greaterThanOrEqual" showErrorMessage="1" errorTitle="Invalid quantity or price" error="Enter a nonnegative number." sqref="B6:C10">
      <x:formula1>0</x:formula1>
    </x:dataValidation>
    <x:dataValidation type="decimal" errorStyle="stop" operator="greaterThanOrEqual" showErrorMessage="1" errorTitle="Invalid quantity or price" error="Enter a nonnegative number." sqref="E6:E10">
      <x:formula1>0</x:formula1>
    </x:dataValidation>
    <x:dataValidation type="decimal" errorStyle="stop" operator="greaterThan" showErrorMessage="1" errorTitle="Invalid package size" error="Package size must be greater than zero." sqref="D6:D1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3ae1e7269b4a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1" customHeight="1">
      <x:c r="A2" s="4" t="str">
        <x:v>Carbonara shopping list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5" customHeight="1">
      <x:c r="A3" s="2" t="str">
        <x:v>Desired servings</x:v>
      </x:c>
      <x:c r="B3" s="36" t="n">
        <x:f>'Setup'!C6</x:f>
        <x:v>6</x:v>
      </x:c>
      <x:c r="C3" s="2"/>
      <x:c r="D3" s="2" t="str">
        <x:v>Budget (USD)</x:v>
      </x:c>
      <x:c r="E3" s="37" t="n">
        <x:f>'Setup'!C7</x:f>
        <x:v>20</x:v>
      </x:c>
      <x:c r="F3" s="2"/>
      <x:c r="G3" s="2"/>
      <x:c r="H3" s="2"/>
      <x:c r="I3" s="2"/>
      <x:c r="J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53" customHeight="1">
      <x:c r="A5" s="26" t="str">
        <x:v>Ingredient</x:v>
      </x:c>
      <x:c r="B5" s="27" t="str">
        <x:v>Required quantity (g)</x:v>
      </x:c>
      <x:c r="C5" s="27" t="str">
        <x:v>Stock available (g)</x:v>
      </x:c>
      <x:c r="D5" s="27" t="str">
        <x:v>Additional needed (g)</x:v>
      </x:c>
      <x:c r="E5" s="27" t="str">
        <x:v>Package size (g)</x:v>
      </x:c>
      <x:c r="F5" s="27" t="str">
        <x:v>Packages to buy</x:v>
      </x:c>
      <x:c r="G5" s="27" t="str">
        <x:v>Package price (USD)</x:v>
      </x:c>
      <x:c r="H5" s="27" t="str">
        <x:v>Purchase cost (USD)</x:v>
      </x:c>
      <x:c r="I5" s="27" t="str">
        <x:v>Used ingredient cost (USD)</x:v>
      </x:c>
      <x:c r="J5" s="28" t="str">
        <x:v>Stock after cooking (g)</x:v>
      </x:c>
    </x:row>
    <x:row r="6" ht="25" customHeight="1">
      <x:c r="A6" s="38" t="str">
        <x:f>'Ingredients'!A6</x:f>
        <x:v>Spaghetti (dry)</x:v>
      </x:c>
      <x:c r="B6" s="35" t="n">
        <x:f>'Ingredients'!F6</x:f>
        <x:v>600</x:v>
      </x:c>
      <x:c r="C6" s="35" t="n">
        <x:f>'Ingredients'!C6</x:f>
        <x:v>100</x:v>
      </x:c>
      <x:c r="D6" s="31" t="n">
        <x:f>MAX(0,B6-C6)</x:f>
        <x:v>500</x:v>
      </x:c>
      <x:c r="E6" s="35" t="n">
        <x:f>'Ingredients'!D6</x:f>
        <x:v>500</x:v>
      </x:c>
      <x:c r="F6" s="8" t="n">
        <x:f>ROUNDUP(D6/E6,0)</x:f>
        <x:v>1</x:v>
      </x:c>
      <x:c r="G6" s="39" t="n">
        <x:f>'Ingredients'!E6</x:f>
        <x:v>2.5</x:v>
      </x:c>
      <x:c r="H6" s="9" t="n">
        <x:f>F6*G6</x:f>
        <x:v>2.5</x:v>
      </x:c>
      <x:c r="I6" s="39" t="n">
        <x:f>'Ingredients'!G6</x:f>
        <x:v>3</x:v>
      </x:c>
      <x:c r="J6" s="31" t="n">
        <x:f>C6+F6*E6-B6</x:f>
        <x:v>0</x:v>
      </x:c>
    </x:row>
    <x:row r="7" ht="25" customHeight="1">
      <x:c r="A7" s="38" t="str">
        <x:f>'Ingredients'!A7</x:f>
        <x:v>Guanciale</x:v>
      </x:c>
      <x:c r="B7" s="35" t="n">
        <x:f>'Ingredients'!F7</x:f>
        <x:v>240</x:v>
      </x:c>
      <x:c r="C7" s="35" t="n">
        <x:f>'Ingredients'!C7</x:f>
        <x:v>20</x:v>
      </x:c>
      <x:c r="D7" s="31" t="n">
        <x:f>MAX(0,B7-C7)</x:f>
        <x:v>220</x:v>
      </x:c>
      <x:c r="E7" s="35" t="n">
        <x:f>'Ingredients'!D7</x:f>
        <x:v>100</x:v>
      </x:c>
      <x:c r="F7" s="8" t="n">
        <x:f>ROUNDUP(D7/E7,0)</x:f>
        <x:v>3</x:v>
      </x:c>
      <x:c r="G7" s="39" t="n">
        <x:f>'Ingredients'!E7</x:f>
        <x:v>4</x:v>
      </x:c>
      <x:c r="H7" s="9" t="n">
        <x:f>F7*G7</x:f>
        <x:v>12</x:v>
      </x:c>
      <x:c r="I7" s="39" t="n">
        <x:f>'Ingredients'!G7</x:f>
        <x:v>9.6</x:v>
      </x:c>
      <x:c r="J7" s="31" t="n">
        <x:f>C7+F7*E7-B7</x:f>
        <x:v>80</x:v>
      </x:c>
    </x:row>
    <x:row r="8" ht="25" customHeight="1">
      <x:c r="A8" s="38" t="str">
        <x:f>'Ingredients'!A8</x:f>
        <x:v>Egg yolks</x:v>
      </x:c>
      <x:c r="B8" s="35" t="n">
        <x:f>'Ingredients'!F8</x:f>
        <x:v>108</x:v>
      </x:c>
      <x:c r="C8" s="35" t="n">
        <x:f>'Ingredients'!C8</x:f>
        <x:v>0</x:v>
      </x:c>
      <x:c r="D8" s="31" t="n">
        <x:f>MAX(0,B8-C8)</x:f>
        <x:v>108</x:v>
      </x:c>
      <x:c r="E8" s="35" t="n">
        <x:f>'Ingredients'!D8</x:f>
        <x:v>36</x:v>
      </x:c>
      <x:c r="F8" s="8" t="n">
        <x:f>ROUNDUP(D8/E8,0)</x:f>
        <x:v>3</x:v>
      </x:c>
      <x:c r="G8" s="39" t="n">
        <x:f>'Ingredients'!E8</x:f>
        <x:v>0.54</x:v>
      </x:c>
      <x:c r="H8" s="9" t="n">
        <x:f>F8*G8</x:f>
        <x:v>1.62</x:v>
      </x:c>
      <x:c r="I8" s="39" t="n">
        <x:f>'Ingredients'!G8</x:f>
        <x:v>1.62</x:v>
      </x:c>
      <x:c r="J8" s="31" t="n">
        <x:f>C8+F8*E8-B8</x:f>
        <x:v>0</x:v>
      </x:c>
    </x:row>
    <x:row r="9" ht="25" customHeight="1">
      <x:c r="A9" s="38" t="str">
        <x:f>'Ingredients'!A9</x:f>
        <x:v>Pecorino Romano</x:v>
      </x:c>
      <x:c r="B9" s="35" t="n">
        <x:f>'Ingredients'!F9</x:f>
        <x:v>120</x:v>
      </x:c>
      <x:c r="C9" s="35" t="n">
        <x:f>'Ingredients'!C9</x:f>
        <x:v>10</x:v>
      </x:c>
      <x:c r="D9" s="31" t="n">
        <x:f>MAX(0,B9-C9)</x:f>
        <x:v>110</x:v>
      </x:c>
      <x:c r="E9" s="35" t="n">
        <x:f>'Ingredients'!D9</x:f>
        <x:v>100</x:v>
      </x:c>
      <x:c r="F9" s="8" t="n">
        <x:f>ROUNDUP(D9/E9,0)</x:f>
        <x:v>2</x:v>
      </x:c>
      <x:c r="G9" s="39" t="n">
        <x:f>'Ingredients'!E9</x:f>
        <x:v>3.5</x:v>
      </x:c>
      <x:c r="H9" s="9" t="n">
        <x:f>F9*G9</x:f>
        <x:v>7</x:v>
      </x:c>
      <x:c r="I9" s="39" t="n">
        <x:f>'Ingredients'!G9</x:f>
        <x:v>4.2</x:v>
      </x:c>
      <x:c r="J9" s="31" t="n">
        <x:f>C9+F9*E9-B9</x:f>
        <x:v>90</x:v>
      </x:c>
    </x:row>
    <x:row r="10" ht="25" customHeight="1">
      <x:c r="A10" s="38" t="str">
        <x:f>'Ingredients'!A10</x:f>
        <x:v>Black pepper</x:v>
      </x:c>
      <x:c r="B10" s="35" t="n">
        <x:f>'Ingredients'!F10</x:f>
        <x:v>3</x:v>
      </x:c>
      <x:c r="C10" s="35" t="n">
        <x:f>'Ingredients'!C10</x:f>
        <x:v>2</x:v>
      </x:c>
      <x:c r="D10" s="31" t="n">
        <x:f>MAX(0,B10-C10)</x:f>
        <x:v>1</x:v>
      </x:c>
      <x:c r="E10" s="35" t="n">
        <x:f>'Ingredients'!D10</x:f>
        <x:v>50</x:v>
      </x:c>
      <x:c r="F10" s="8" t="n">
        <x:f>ROUNDUP(D10/E10,0)</x:f>
        <x:v>1</x:v>
      </x:c>
      <x:c r="G10" s="39" t="n">
        <x:f>'Ingredients'!E10</x:f>
        <x:v>2.5</x:v>
      </x:c>
      <x:c r="H10" s="9" t="n">
        <x:f>F10*G10</x:f>
        <x:v>2.5</x:v>
      </x:c>
      <x:c r="I10" s="39" t="n">
        <x:f>'Ingredients'!G10</x:f>
        <x:v>0.15</x:v>
      </x:c>
      <x:c r="J10" s="31" t="n">
        <x:f>C10+F10*E10-B10</x:f>
        <x:v>49</x:v>
      </x:c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5" customHeight="1">
      <x:c r="A12" s="44" t="str">
        <x:v>Total cost (USD)</x:v>
      </x:c>
      <x:c r="B12" s="44"/>
      <x:c r="C12" s="44"/>
      <x:c r="D12" s="44"/>
      <x:c r="E12" s="44"/>
      <x:c r="F12" s="44"/>
      <x:c r="G12" s="44"/>
      <x:c r="H12" s="45" t="n">
        <x:f>SUM(H6:H10)</x:f>
        <x:v>25.62</x:v>
      </x:c>
      <x:c r="I12" s="45" t="n">
        <x:f>SUM(I6:I10)</x:f>
        <x:v>18.569999999999997</x:v>
      </x:c>
      <x:c r="J12" s="44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5" customHeight="1">
      <x:c r="A14" s="17" t="str">
        <x:v>Blue rows require a purchase. Zero-purchase ingredients stay visible.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5" customHeight="1">
      <x:c r="A15" s="17" t="str">
        <x:v>Stock after cooking = available stock + packages bought × package size − required quantity.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</x:sheetData>
  <x:conditionalFormatting sqref="A6:J10">
    <x:cfRule type="expression" dxfId="0" priority="1">
      <x:formula>$F6&gt;0</x:formula>
    </x:cfRule>
  </x:conditionalFormatting>
  <x:conditionalFormatting sqref="F6:F10">
    <x:cfRule type="cellIs" dxfId="1" priority="2" operator="greaterThan">
      <x:formula>0</x:formula>
    </x:cfRule>
  </x:conditionalFormatting>
  <x:conditionalFormatting sqref="H12:H12">
    <x:cfRule type="expression" dxfId="2" priority="3">
      <x:formula>$H$12&gt;$E$3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94568"/>
  </x:sheetPr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3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1" customHeight="1">
      <x:c r="A2" s="4" t="str">
        <x:v>Carbonara meal cost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2" t="str">
        <x:v>Desired servings</x:v>
      </x:c>
      <x:c r="B5" s="8" t="n">
        <x:f>'Setup'!C6</x:f>
        <x:v>6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4" customHeight="1">
      <x:c r="A6" s="2" t="str">
        <x:v>Total used ingredient cost (USD)</x:v>
      </x:c>
      <x:c r="B6" s="9" t="n">
        <x:f>'ShoppingList'!I12</x:f>
        <x:v>18.569999999999997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4" customHeight="1">
      <x:c r="A7" s="2" t="str">
        <x:v>Used cost per serving (USD)</x:v>
      </x:c>
      <x:c r="B7" s="9" t="n">
        <x:f>B6/B5</x:f>
        <x:v>3.0949999999999993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4" customHeight="1">
      <x:c r="A8" s="42" t="str">
        <x:v>Total purchase cost (USD)</x:v>
      </x:c>
      <x:c r="B8" s="47" t="n">
        <x:f>'ShoppingList'!H12</x:f>
        <x:v>25.62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4" customHeight="1">
      <x:c r="A9" s="2" t="str">
        <x:v>Shopping budget (USD)</x:v>
      </x:c>
      <x:c r="B9" s="9" t="n">
        <x:f>'Setup'!C7</x:f>
        <x:v>20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4" customHeight="1">
      <x:c r="A10" s="48" t="str">
        <x:v>Budget remaining (USD)</x:v>
      </x:c>
      <x:c r="B10" s="49" t="n">
        <x:f>B9-B8</x:f>
        <x:v>-5.620000000000001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4" customHeight="1">
      <x:c r="A11" s="48" t="str">
        <x:v>Budget status</x:v>
      </x:c>
      <x:c r="B11" s="48" t="str">
        <x:f>IF(B8&lt;=B9,"Within budget","Over budget")</x:f>
        <x:v>Over budget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45" customHeight="1">
      <x:c r="A16" s="26" t="str">
        <x:v>Ingredient</x:v>
      </x:c>
      <x:c r="B16" s="27" t="str">
        <x:v>Purchase cost (USD)</x:v>
      </x:c>
      <x:c r="C16" s="28" t="str">
        <x:v>Used cost (USD)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4" customHeight="1">
      <x:c r="A17" s="2" t="str">
        <x:f>'ShoppingList'!A6</x:f>
        <x:v>Spaghetti (dry)</x:v>
      </x:c>
      <x:c r="B17" s="9" t="n">
        <x:f>'ShoppingList'!H6</x:f>
        <x:v>2.5</x:v>
      </x:c>
      <x:c r="C17" s="9" t="n">
        <x:f>'ShoppingList'!I6</x:f>
        <x:v>3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4" customHeight="1">
      <x:c r="A18" s="2" t="str">
        <x:f>'ShoppingList'!A7</x:f>
        <x:v>Guanciale</x:v>
      </x:c>
      <x:c r="B18" s="9" t="n">
        <x:f>'ShoppingList'!H7</x:f>
        <x:v>12</x:v>
      </x:c>
      <x:c r="C18" s="9" t="n">
        <x:f>'ShoppingList'!I7</x:f>
        <x:v>9.6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A19" s="2" t="str">
        <x:f>'ShoppingList'!A8</x:f>
        <x:v>Egg yolks</x:v>
      </x:c>
      <x:c r="B19" s="9" t="n">
        <x:f>'ShoppingList'!H8</x:f>
        <x:v>1.62</x:v>
      </x:c>
      <x:c r="C19" s="9" t="n">
        <x:f>'ShoppingList'!I8</x:f>
        <x:v>1.62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4" customHeight="1">
      <x:c r="A20" s="2" t="str">
        <x:f>'ShoppingList'!A9</x:f>
        <x:v>Pecorino Romano</x:v>
      </x:c>
      <x:c r="B20" s="9" t="n">
        <x:f>'ShoppingList'!H9</x:f>
        <x:v>7</x:v>
      </x:c>
      <x:c r="C20" s="9" t="n">
        <x:f>'ShoppingList'!I9</x:f>
        <x:v>4.2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4" customHeight="1">
      <x:c r="A21" s="2" t="str">
        <x:f>'ShoppingList'!A10</x:f>
        <x:v>Black pepper</x:v>
      </x:c>
      <x:c r="B21" s="9" t="n">
        <x:f>'ShoppingList'!H10</x:f>
        <x:v>2.5</x:v>
      </x:c>
      <x:c r="C21" s="9" t="n">
        <x:f>'ShoppingList'!I10</x:f>
        <x:v>0.15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</x:sheetData>
  <x:conditionalFormatting sqref="B8:B8">
    <x:cfRule type="expression" dxfId="3" priority="1">
      <x:formula>$B$8&gt;$B$9</x:formula>
    </x:cfRule>
  </x:conditionalFormatting>
  <x:conditionalFormatting sqref="B10:B10">
    <x:cfRule type="cellIs" dxfId="4" priority="2" operator="lessThan">
      <x:formula>0</x:formula>
    </x:cfRule>
  </x:conditionalFormatting>
  <x:conditionalFormatting sqref="B11:B11">
    <x:cfRule type="expression" dxfId="5" priority="3">
      <x:formula>$B$8&gt;$B$9</x:formula>
    </x:cfRule>
  </x:conditionalFormatting>
  <x:conditionalFormatting sqref="A17:B21">
    <x:cfRule type="expression" dxfId="6" priority="4">
      <x:formula>$B17&gt;0</x:formula>
    </x:cfRule>
  </x:conditionalFormatting>
  <x:pageMargins left="0.7" right="0.7" top="0.75" bottom="0.75" header="0.3" footer="0.3"/>
  <x:drawing xmlns:r="http://schemas.openxmlformats.org/officeDocument/2006/relationships" r:id="R3ee300659dda4f0e"/>
</x:worksheet>
</file>