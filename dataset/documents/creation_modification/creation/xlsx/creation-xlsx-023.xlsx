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502142448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b80d447f177e4647"/>
    <x:sheet xmlns:r="http://schemas.openxmlformats.org/officeDocument/2006/relationships" name="Ingredients" sheetId="2" r:id="R5dc37cd3ec8c4c6f"/>
    <x:sheet xmlns:r="http://schemas.openxmlformats.org/officeDocument/2006/relationships" name="ShoppingList" sheetId="3" r:id="R1641cc065d614c1c"/>
    <x:sheet xmlns:r="http://schemas.openxmlformats.org/officeDocument/2006/relationships" name="Dashboard" sheetId="4" r:id="Rf038f18c41cf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;[Red](&quot;$&quot;#,##0.00);&quot;$&quot;0.00"/>
    <x:numFmt numFmtId="202" formatCode="#,##0.0"/>
  </x:numFmts>
  <x:fonts count="9">
    <x:font>
      <x:sz val="11"/>
      <x:name val="Carlito"/>
    </x:font>
    <x:font>
      <x:sz val="11"/>
      <x:color rgb="FF233D4D"/>
      <x:name val="Arial"/>
    </x:font>
    <x:font>
      <x:b/>
      <x:sz val="16"/>
      <x:color rgb="FF233D4D"/>
      <x:name val="Arial"/>
    </x:font>
    <x:font>
      <x:b/>
      <x:sz val="11"/>
      <x:color rgb="FF1D4C80"/>
      <x:name val="Arial"/>
    </x:font>
    <x:font>
      <x:sz val="11"/>
      <x:color rgb="FF5C6F7C"/>
      <x:name val="Arial"/>
    </x:font>
    <x:font>
      <x:i/>
      <x:sz val="11"/>
      <x:color rgb="FF5C6F7C"/>
      <x:name val="Arial"/>
    </x:font>
    <x:font>
      <x:b/>
      <x:sz val="11"/>
      <x:color rgb="FFFFFFFF"/>
      <x:name val="Arial"/>
    </x:font>
    <x:font>
      <x:sz val="11"/>
      <x:color rgb="FF1D4C80"/>
      <x:name val="Arial"/>
    </x:font>
    <x:font>
      <x:b/>
      <x:sz val="11"/>
      <x:color rgb="FF233D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33D4D"/>
      </x:patternFill>
    </x:fill>
    <x:fill>
      <x:patternFill patternType="solid">
        <x:fgColor rgb="FFF2F5F8"/>
      </x:patternFill>
    </x:fill>
  </x:fills>
  <x:borders count="9">
    <x:border/>
    <x:border>
      <x:bottom style="thin">
        <x:color rgb="FF9AABB6"/>
      </x:bottom>
    </x:border>
    <x:border>
      <x:left style="thin">
        <x:color rgb="FFD3B968"/>
      </x:left>
      <x:right style="thin">
        <x:color rgb="FFD3B968"/>
      </x:right>
      <x:top style="thin">
        <x:color rgb="FFD3B968"/>
      </x:top>
    </x:border>
    <x:border>
      <x:left style="thin">
        <x:color rgb="FFD3B968"/>
      </x:left>
      <x:right style="thin">
        <x:color rgb="FFD3B968"/>
      </x:right>
    </x:border>
    <x:border>
      <x:left style="thin">
        <x:color rgb="FFD3B968"/>
      </x:left>
      <x:right style="thin">
        <x:color rgb="FFD3B968"/>
      </x:right>
      <x:bottom style="thin">
        <x:color rgb="FFD3B96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9AABB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right" vertical="center"/>
    </x:xf>
    <x:xf numFmtId="0" fontId="3" fillId="2" borderId="3" xfId="0" applyNumberFormat="1" applyFont="1" applyFill="1" applyBorder="1" applyAlignment="1">
      <x:alignment horizontal="right" vertical="center"/>
    </x:xf>
    <x:xf numFmtId="0" fontId="3" fillId="2" borderId="4" xfId="0" applyNumberFormat="1" applyFont="1" applyFill="1" applyBorder="1" applyAlignment="1">
      <x:alignment horizontal="right" vertical="center"/>
    </x:xf>
    <x:xf numFmtId="200" fontId="3" fillId="2" borderId="2" xfId="0" applyNumberFormat="1" applyFont="1" applyFill="1" applyBorder="1" applyAlignment="1">
      <x:alignment horizontal="right" vertical="center"/>
    </x:xf>
    <x:xf numFmtId="200" fontId="3" fillId="2" borderId="3" xfId="0" applyNumberFormat="1" applyFont="1" applyFill="1" applyBorder="1" applyAlignment="1">
      <x:alignment horizontal="right" vertical="center"/>
    </x:xf>
    <x:xf numFmtId="201" fontId="3" fillId="2" borderId="4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202" fontId="7" fillId="2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1" fontId="7" fillId="2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/>
    </x:xf>
    <x:xf numFmtId="201" fontId="8" fillId="4" borderId="8" xfId="0" applyNumberFormat="1" applyFont="1" applyFill="1" applyBorder="1" applyAlignment="1">
      <x:alignment vertical="center"/>
    </x:xf>
    <x:xf numFmtId="201" fontId="8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233D4D"/>
      </x:font>
      <x:fill>
        <x:patternFill patternType="solid">
          <x:bgColor rgb="FFE6F0F7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233D4D"/>
      </x:font>
      <x:fill>
        <x:patternFill patternType="solid">
          <x:bgColor rgb="FFE6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a2d3dfe3241a8" /><Relationship Type="http://schemas.openxmlformats.org/officeDocument/2006/relationships/theme" Target="/xl/theme/theme1.xml" Id="R40e97ce219154121" /><Relationship Type="http://schemas.openxmlformats.org/officeDocument/2006/relationships/sharedStrings" Target="/xl/sharedStrings.xml" Id="R8965c2c9cb00469d" /><Relationship Type="http://schemas.openxmlformats.org/officeDocument/2006/relationships/worksheet" Target="/xl/worksheets/sheet1.xml" Id="Rb80d447f177e4647" /><Relationship Type="http://schemas.openxmlformats.org/officeDocument/2006/relationships/worksheet" Target="/xl/worksheets/sheet2.xml" Id="R5dc37cd3ec8c4c6f" /><Relationship Type="http://schemas.openxmlformats.org/officeDocument/2006/relationships/worksheet" Target="/xl/worksheets/sheet3.xml" Id="R1641cc065d614c1c" /><Relationship Type="http://schemas.openxmlformats.org/officeDocument/2006/relationships/worksheet" Target="/xl/worksheets/sheet4.xml" Id="Rf038f18c41cf42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1d70bf6d444cd5" /><Relationship Type="http://schemas.openxmlformats.org/officeDocument/2006/relationships/chart" Target="/xl/drawings/charts/chart2.xml" Id="R2cba77e8999343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E7792"/>
            </a:solidFill>
          </c:spPr>
          <c:cat>
            <c:strRef>
              <c:f>'Dashboard'!$G$6:$G$10</c:f>
              <c:strCache>
                <c:ptCount val="0"/>
              </c:strCache>
            </c:strRef>
          </c:cat>
          <c:val>
            <c:numRef>
              <c:f>'Dashboard'!$H$6:$H$10</c:f>
              <c:numCache>
                <c:formatCode>"$"#,##0.00;[Red]("$"#,##0.00);"$"0.00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'Dashboard'!$G$6:$G$10</c:f>
              <c:strCache>
                <c:ptCount val="0"/>
              </c:strCache>
            </c:strRef>
          </c:cat>
          <c:val>
            <c:numRef>
              <c:f>'Dashboard'!$I$6:$I$10</c:f>
              <c:numCache>
                <c:formatCode>"$"#,##0.00;[Red]("$"#,##0.00);"$"0.00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1d70bf6d444cd5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ba77e8999343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7:G12" headerRowCount="1" totalsRowCount="0" totalsRowShown="0">
  <x:autoFilter ref="A7:G12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ppingTable" displayName="ShoppingTable" ref="A7:J12" headerRowCount="1" totalsRowCount="0" totalsRowShown="0">
  <x:autoFilter ref="A7:J12"/>
  <x:tableColumns count="10">
    <x:tableColumn id="1" name="Ingredient"/>
    <x:tableColumn id="2" name="Required (g)"/>
    <x:tableColumn id="3" name="Stock (g)"/>
    <x:tableColumn id="4" name="Additional needed (g)"/>
    <x:tableColumn id="5" name="Package size (g)"/>
    <x:tableColumn id="6" name="Packages to buy"/>
    <x:tableColumn id="7" name="Price/package (USD)"/>
    <x:tableColumn id="8" name="Purchase cost (USD)"/>
    <x:tableColumn id="9" name="Stock after cooking (g)"/>
    <x:tableColumn id="10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9a7bfb9b04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de78bda95e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d2233a245be46c0" /></Relationships>
</file>

<file path=xl/worksheets/sheet1.xml><?xml version="1.0" encoding="utf-8"?>
<x:worksheet xmlns:x="http://schemas.openxmlformats.org/spreadsheetml/2006/main">
  <x:sheetPr>
    <x:tabColor rgb="FF7E99AC"/>
  </x:sheetPr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5" hidden="0" customWidth="1"/>
    <x:col min="4" max="4" width="3" hidden="0" customWidth="1"/>
  </x:cols>
  <x:sheetData>
    <x:row r="1" ht="24" customHeight="1">
      <x:c r="A1" s="2"/>
      <x:c r="B1" s="2"/>
      <x:c r="C1" s="2"/>
      <x:c r="D1" s="2"/>
    </x:row>
    <x:row r="2" ht="30" customHeight="1">
      <x:c r="A2" s="3" t="str">
        <x:v>Carbonara meal settings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 t="str">
        <x:v>Base recipe servings</x:v>
      </x:c>
      <x:c r="B5" s="13" t="n">
        <x:v>2</x:v>
      </x:c>
      <x:c r="C5" s="16" t="str">
        <x:v>Base quantities in Ingredients correspond to this recipe.</x:v>
      </x:c>
      <x:c r="D5" s="2"/>
    </x:row>
    <x:row r="6" ht="24" customHeight="1">
      <x:c r="A6" s="2" t="str">
        <x:v>Desired servings</x:v>
      </x:c>
      <x:c r="B6" s="14" t="n">
        <x:v>6</x:v>
      </x:c>
      <x:c r="C6" s="16" t="str">
        <x:v>Enter a whole number from 1 through 20.</x:v>
      </x:c>
      <x:c r="D6" s="2"/>
    </x:row>
    <x:row r="7" ht="24" customHeight="1">
      <x:c r="A7" s="2" t="str">
        <x:v>Shopping budget (USD)</x:v>
      </x:c>
      <x:c r="B7" s="15" t="n">
        <x:v>20</x:v>
      </x:c>
      <x:c r="C7" s="16" t="str">
        <x:v>Enter zero or a positive amount.</x:v>
      </x:c>
      <x:c r="D7" s="2"/>
    </x:row>
    <x:row r="8" ht="24" customHeight="1">
      <x:c r="A8" s="2"/>
      <x:c r="B8" s="2"/>
      <x:c r="C8" s="2"/>
      <x:c r="D8" s="2"/>
    </x:row>
    <x:row r="9" ht="24" customHeight="1">
      <x:c r="A9" s="2"/>
      <x:c r="B9" s="2"/>
      <x:c r="C9" s="2"/>
      <x:c r="D9" s="2"/>
    </x:row>
    <x:row r="10" ht="24" customHeight="1">
      <x:c r="A10" s="2" t="str">
        <x:v>Amber cells are editable inputs.</x:v>
      </x:c>
      <x:c r="B10" s="2"/>
      <x:c r="C10" s="2"/>
      <x:c r="D10" s="2"/>
    </x:row>
    <x:row r="11" ht="24" customHeight="1">
      <x:c r="A11" s="2"/>
      <x:c r="B11" s="2"/>
      <x:c r="C11" s="2"/>
      <x:c r="D11" s="2"/>
    </x:row>
    <x:row r="12" ht="24" customHeight="1">
      <x:c r="A12" s="2" t="str">
        <x:v>Edit stock, package sizes, and prices in the Ingredients table.</x:v>
      </x:c>
      <x:c r="B12" s="2"/>
      <x:c r="C12" s="2"/>
      <x:c r="D12" s="2"/>
    </x:row>
    <x:row r="13" ht="24" customHeight="1">
      <x:c r="A13" s="2"/>
      <x:c r="B13" s="2"/>
      <x:c r="C13" s="2"/>
      <x:c r="D13" s="2"/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 for the budget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1" hidden="0" customWidth="1"/>
    <x:col min="4" max="4" width="19" hidden="0" customWidth="1"/>
    <x:col min="5" max="5" width="21" hidden="0" customWidth="1"/>
    <x:col min="6" max="6" width="23" hidden="0" customWidth="1"/>
    <x:col min="7" max="7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Carbonara ingredients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</x:row>
    <x:row r="4" ht="24" customHeight="1">
      <x:c r="A4" s="17" t="str">
        <x:v>Illustrative prices supplied for this meal. All quantities are grams.</x:v>
      </x:c>
      <x:c r="B4" s="2"/>
      <x:c r="C4" s="2"/>
      <x:c r="D4" s="2"/>
      <x:c r="E4" s="2"/>
      <x:c r="F4" s="2"/>
      <x:c r="G4" s="2"/>
    </x:row>
    <x:row r="5" ht="24" customHeight="1">
      <x:c r="A5" s="17" t="str">
        <x:v>Egg yolks are weighed without shells or whites. Amber cells are editable.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44" customHeight="1">
      <x:c r="A7" s="26" t="str">
        <x:v>Ingredient</x:v>
      </x:c>
      <x:c r="B7" s="27" t="str">
        <x:v>Base quantity for 2 servings (g)</x:v>
      </x:c>
      <x:c r="C7" s="27" t="str">
        <x:v>Stock available (g)</x:v>
      </x:c>
      <x:c r="D7" s="27" t="str">
        <x:v>Package size (g)</x:v>
      </x:c>
      <x:c r="E7" s="27" t="str">
        <x:v>Package price (USD)</x:v>
      </x:c>
      <x:c r="F7" s="27" t="str">
        <x:v>Required quantity (g)</x:v>
      </x:c>
      <x:c r="G7" s="28" t="str">
        <x:v>Used-ingredient cost (USD)</x:v>
      </x:c>
    </x:row>
    <x:row r="8" ht="24" customHeight="1">
      <x:c r="A8" s="5" t="str">
        <x:v>Spaghetti (dry)</x:v>
      </x:c>
      <x:c r="B8" s="33" t="n">
        <x:v>200</x:v>
      </x:c>
      <x:c r="C8" s="33" t="n">
        <x:v>100</x:v>
      </x:c>
      <x:c r="D8" s="33" t="n">
        <x:v>500</x:v>
      </x:c>
      <x:c r="E8" s="35" t="n">
        <x:v>2.5</x:v>
      </x:c>
      <x:c r="F8" s="34" t="n">
        <x:f>B8*'Setup'!$B$6/'Setup'!$B$5</x:f>
        <x:v>600</x:v>
      </x:c>
      <x:c r="G8" s="36" t="n">
        <x:f>F8/D8*E8</x:f>
        <x:v>3</x:v>
      </x:c>
    </x:row>
    <x:row r="9" ht="24" customHeight="1">
      <x:c r="A9" s="5" t="str">
        <x:v>Guanciale</x:v>
      </x:c>
      <x:c r="B9" s="33" t="n">
        <x:v>80</x:v>
      </x:c>
      <x:c r="C9" s="33" t="n">
        <x:v>20</x:v>
      </x:c>
      <x:c r="D9" s="33" t="n">
        <x:v>100</x:v>
      </x:c>
      <x:c r="E9" s="35" t="n">
        <x:v>4</x:v>
      </x:c>
      <x:c r="F9" s="34" t="n">
        <x:f>B9*'Setup'!$B$6/'Setup'!$B$5</x:f>
        <x:v>240</x:v>
      </x:c>
      <x:c r="G9" s="36" t="n">
        <x:f>F9/D9*E9</x:f>
        <x:v>9.6</x:v>
      </x:c>
    </x:row>
    <x:row r="10" ht="24" customHeight="1">
      <x:c r="A10" s="5" t="str">
        <x:v>Egg yolks</x:v>
      </x:c>
      <x:c r="B10" s="33" t="n">
        <x:v>36</x:v>
      </x:c>
      <x:c r="C10" s="33" t="n">
        <x:v>0</x:v>
      </x:c>
      <x:c r="D10" s="33" t="n">
        <x:v>36</x:v>
      </x:c>
      <x:c r="E10" s="35" t="n">
        <x:v>0.54</x:v>
      </x:c>
      <x:c r="F10" s="34" t="n">
        <x:f>B10*'Setup'!$B$6/'Setup'!$B$5</x:f>
        <x:v>108</x:v>
      </x:c>
      <x:c r="G10" s="36" t="n">
        <x:f>F10/D10*E10</x:f>
        <x:v>1.62</x:v>
      </x:c>
    </x:row>
    <x:row r="11" ht="24" customHeight="1">
      <x:c r="A11" s="5" t="str">
        <x:v>Pecorino Romano</x:v>
      </x:c>
      <x:c r="B11" s="33" t="n">
        <x:v>40</x:v>
      </x:c>
      <x:c r="C11" s="33" t="n">
        <x:v>10</x:v>
      </x:c>
      <x:c r="D11" s="33" t="n">
        <x:v>100</x:v>
      </x:c>
      <x:c r="E11" s="35" t="n">
        <x:v>3.5</x:v>
      </x:c>
      <x:c r="F11" s="34" t="n">
        <x:f>B11*'Setup'!$B$6/'Setup'!$B$5</x:f>
        <x:v>120</x:v>
      </x:c>
      <x:c r="G11" s="36" t="n">
        <x:f>F11/D11*E11</x:f>
        <x:v>4.2</x:v>
      </x:c>
    </x:row>
    <x:row r="12" ht="24" customHeight="1">
      <x:c r="A12" s="5" t="str">
        <x:v>Black pepper</x:v>
      </x:c>
      <x:c r="B12" s="33" t="n">
        <x:v>1</x:v>
      </x:c>
      <x:c r="C12" s="33" t="n">
        <x:v>2</x:v>
      </x:c>
      <x:c r="D12" s="33" t="n">
        <x:v>50</x:v>
      </x:c>
      <x:c r="E12" s="35" t="n">
        <x:v>2.5</x:v>
      </x:c>
      <x:c r="F12" s="34" t="n">
        <x:f>B12*'Setup'!$B$6/'Setup'!$B$5</x:f>
        <x:v>3</x:v>
      </x:c>
      <x:c r="G12" s="36" t="n">
        <x:f>F12/D12*E12</x:f>
        <x:v>0.15</x:v>
      </x:c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  <x:tableParts count="1">
    <x:tablePart xmlns:r="http://schemas.openxmlformats.org/officeDocument/2006/relationships" r:id="Rf79a7bfb9b0448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7" hidden="0" customWidth="1"/>
    <x:col min="4" max="4" width="20" hidden="0" customWidth="1"/>
    <x:col min="5" max="5" width="18" hidden="0" customWidth="1"/>
    <x:col min="6" max="6" width="17" hidden="0" customWidth="1"/>
    <x:col min="7" max="7" width="20" hidden="0" customWidth="1"/>
    <x:col min="8" max="8" width="21" hidden="0" customWidth="1"/>
    <x:col min="9" max="9" width="22" hidden="0" customWidth="1"/>
    <x:col min="10" max="10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Carbonara shopping list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 t="str">
        <x:v>Desired servings</x:v>
      </x:c>
      <x:c r="B4" s="37" t="n">
        <x:f>'Setup'!B6</x:f>
        <x:v>6</x:v>
      </x:c>
      <x:c r="C4" s="2"/>
      <x:c r="D4" s="2" t="str">
        <x:v>Shopping budget (USD)</x:v>
      </x:c>
      <x:c r="E4" s="2"/>
      <x:c r="F4" s="38" t="n">
        <x:f>'Setup'!B7</x:f>
        <x:v>20</x:v>
      </x:c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4" customHeight="1">
      <x:c r="A7" s="26" t="str">
        <x:v>Ingredient</x:v>
      </x:c>
      <x:c r="B7" s="27" t="str">
        <x:v>Required (g)</x:v>
      </x:c>
      <x:c r="C7" s="27" t="str">
        <x:v>Stock (g)</x:v>
      </x:c>
      <x:c r="D7" s="27" t="str">
        <x:v>Additional needed (g)</x:v>
      </x:c>
      <x:c r="E7" s="27" t="str">
        <x:v>Package size (g)</x:v>
      </x:c>
      <x:c r="F7" s="27" t="str">
        <x:v>Packages to buy</x:v>
      </x:c>
      <x:c r="G7" s="27" t="str">
        <x:v>Price/package (USD)</x:v>
      </x:c>
      <x:c r="H7" s="27" t="str">
        <x:v>Purchase cost (USD)</x:v>
      </x:c>
      <x:c r="I7" s="27" t="str">
        <x:v>Stock after cooking (g)</x:v>
      </x:c>
      <x:c r="J7" s="28" t="str">
        <x:v>Used-ingredient cost (USD)</x:v>
      </x:c>
    </x:row>
    <x:row r="8" ht="24" customHeight="1">
      <x:c r="A8" s="2" t="str">
        <x:f>'Ingredients'!A8</x:f>
        <x:v>Spaghetti (dry)</x:v>
      </x:c>
      <x:c r="B8" s="40" t="n">
        <x:f>'Ingredients'!F8</x:f>
        <x:v>600</x:v>
      </x:c>
      <x:c r="C8" s="40" t="n">
        <x:f>'Ingredients'!C8</x:f>
        <x:v>100</x:v>
      </x:c>
      <x:c r="D8" s="40" t="n">
        <x:f>MAX(B8-C8,0)</x:f>
        <x:v>500</x:v>
      </x:c>
      <x:c r="E8" s="40" t="n">
        <x:f>'Ingredients'!D8</x:f>
        <x:v>500</x:v>
      </x:c>
      <x:c r="F8" s="41" t="n">
        <x:f>ROUNDUP(D8/E8,0)</x:f>
        <x:v>1</x:v>
      </x:c>
      <x:c r="G8" s="42" t="n">
        <x:f>'Ingredients'!E8</x:f>
        <x:v>2.5</x:v>
      </x:c>
      <x:c r="H8" s="42" t="n">
        <x:f>F8*G8</x:f>
        <x:v>2.5</x:v>
      </x:c>
      <x:c r="I8" s="40" t="n">
        <x:f>C8+F8*E8-B8</x:f>
        <x:v>0</x:v>
      </x:c>
      <x:c r="J8" s="42" t="n">
        <x:f>'Ingredients'!G8</x:f>
        <x:v>3</x:v>
      </x:c>
    </x:row>
    <x:row r="9" ht="24" customHeight="1">
      <x:c r="A9" s="2" t="str">
        <x:f>'Ingredients'!A9</x:f>
        <x:v>Guanciale</x:v>
      </x:c>
      <x:c r="B9" s="40" t="n">
        <x:f>'Ingredients'!F9</x:f>
        <x:v>240</x:v>
      </x:c>
      <x:c r="C9" s="40" t="n">
        <x:f>'Ingredients'!C9</x:f>
        <x:v>20</x:v>
      </x:c>
      <x:c r="D9" s="40" t="n">
        <x:f>MAX(B9-C9,0)</x:f>
        <x:v>220</x:v>
      </x:c>
      <x:c r="E9" s="40" t="n">
        <x:f>'Ingredients'!D9</x:f>
        <x:v>100</x:v>
      </x:c>
      <x:c r="F9" s="41" t="n">
        <x:f>ROUNDUP(D9/E9,0)</x:f>
        <x:v>3</x:v>
      </x:c>
      <x:c r="G9" s="42" t="n">
        <x:f>'Ingredients'!E9</x:f>
        <x:v>4</x:v>
      </x:c>
      <x:c r="H9" s="42" t="n">
        <x:f>F9*G9</x:f>
        <x:v>12</x:v>
      </x:c>
      <x:c r="I9" s="40" t="n">
        <x:f>C9+F9*E9-B9</x:f>
        <x:v>80</x:v>
      </x:c>
      <x:c r="J9" s="42" t="n">
        <x:f>'Ingredients'!G9</x:f>
        <x:v>9.6</x:v>
      </x:c>
    </x:row>
    <x:row r="10" ht="24" customHeight="1">
      <x:c r="A10" s="2" t="str">
        <x:f>'Ingredients'!A10</x:f>
        <x:v>Egg yolks</x:v>
      </x:c>
      <x:c r="B10" s="40" t="n">
        <x:f>'Ingredients'!F10</x:f>
        <x:v>108</x:v>
      </x:c>
      <x:c r="C10" s="40" t="n">
        <x:f>'Ingredients'!C10</x:f>
        <x:v>0</x:v>
      </x:c>
      <x:c r="D10" s="40" t="n">
        <x:f>MAX(B10-C10,0)</x:f>
        <x:v>108</x:v>
      </x:c>
      <x:c r="E10" s="40" t="n">
        <x:f>'Ingredients'!D10</x:f>
        <x:v>36</x:v>
      </x:c>
      <x:c r="F10" s="41" t="n">
        <x:f>ROUNDUP(D10/E10,0)</x:f>
        <x:v>3</x:v>
      </x:c>
      <x:c r="G10" s="42" t="n">
        <x:f>'Ingredients'!E10</x:f>
        <x:v>0.54</x:v>
      </x:c>
      <x:c r="H10" s="42" t="n">
        <x:f>F10*G10</x:f>
        <x:v>1.62</x:v>
      </x:c>
      <x:c r="I10" s="40" t="n">
        <x:f>C10+F10*E10-B10</x:f>
        <x:v>0</x:v>
      </x:c>
      <x:c r="J10" s="42" t="n">
        <x:f>'Ingredients'!G10</x:f>
        <x:v>1.62</x:v>
      </x:c>
    </x:row>
    <x:row r="11" ht="24" customHeight="1">
      <x:c r="A11" s="2" t="str">
        <x:f>'Ingredients'!A11</x:f>
        <x:v>Pecorino Romano</x:v>
      </x:c>
      <x:c r="B11" s="40" t="n">
        <x:f>'Ingredients'!F11</x:f>
        <x:v>120</x:v>
      </x:c>
      <x:c r="C11" s="40" t="n">
        <x:f>'Ingredients'!C11</x:f>
        <x:v>10</x:v>
      </x:c>
      <x:c r="D11" s="40" t="n">
        <x:f>MAX(B11-C11,0)</x:f>
        <x:v>110</x:v>
      </x:c>
      <x:c r="E11" s="40" t="n">
        <x:f>'Ingredients'!D11</x:f>
        <x:v>100</x:v>
      </x:c>
      <x:c r="F11" s="41" t="n">
        <x:f>ROUNDUP(D11/E11,0)</x:f>
        <x:v>2</x:v>
      </x:c>
      <x:c r="G11" s="42" t="n">
        <x:f>'Ingredients'!E11</x:f>
        <x:v>3.5</x:v>
      </x:c>
      <x:c r="H11" s="42" t="n">
        <x:f>F11*G11</x:f>
        <x:v>7</x:v>
      </x:c>
      <x:c r="I11" s="40" t="n">
        <x:f>C11+F11*E11-B11</x:f>
        <x:v>90</x:v>
      </x:c>
      <x:c r="J11" s="42" t="n">
        <x:f>'Ingredients'!G11</x:f>
        <x:v>4.2</x:v>
      </x:c>
    </x:row>
    <x:row r="12" ht="24" customHeight="1">
      <x:c r="A12" s="2" t="str">
        <x:f>'Ingredients'!A12</x:f>
        <x:v>Black pepper</x:v>
      </x:c>
      <x:c r="B12" s="40" t="n">
        <x:f>'Ingredients'!F12</x:f>
        <x:v>3</x:v>
      </x:c>
      <x:c r="C12" s="40" t="n">
        <x:f>'Ingredients'!C12</x:f>
        <x:v>2</x:v>
      </x:c>
      <x:c r="D12" s="40" t="n">
        <x:f>MAX(B12-C12,0)</x:f>
        <x:v>1</x:v>
      </x:c>
      <x:c r="E12" s="40" t="n">
        <x:f>'Ingredients'!D12</x:f>
        <x:v>50</x:v>
      </x:c>
      <x:c r="F12" s="41" t="n">
        <x:f>ROUNDUP(D12/E12,0)</x:f>
        <x:v>1</x:v>
      </x:c>
      <x:c r="G12" s="42" t="n">
        <x:f>'Ingredients'!E12</x:f>
        <x:v>2.5</x:v>
      </x:c>
      <x:c r="H12" s="42" t="n">
        <x:f>F12*G12</x:f>
        <x:v>2.5</x:v>
      </x:c>
      <x:c r="I12" s="40" t="n">
        <x:f>C12+F12*E12-B12</x:f>
        <x:v>49</x:v>
      </x:c>
      <x:c r="J12" s="42" t="n">
        <x:f>'Ingredients'!G12</x:f>
        <x:v>0.15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44" t="str">
        <x:v>Total costs (USD)</x:v>
      </x:c>
      <x:c r="B14" s="44"/>
      <x:c r="C14" s="44"/>
      <x:c r="D14" s="44"/>
      <x:c r="E14" s="44"/>
      <x:c r="F14" s="44"/>
      <x:c r="G14" s="44"/>
      <x:c r="H14" s="45" t="n">
        <x:f>SUM(H8:H12)</x:f>
        <x:v>25.62</x:v>
      </x:c>
      <x:c r="I14" s="45"/>
      <x:c r="J14" s="45" t="n">
        <x:f>SUM(J8:J12)</x:f>
        <x:v>18.569999999999997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17" t="str">
        <x:v>Shaded ingredient rows require a purchase. Zero-purchase items remain listed.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17" t="str">
        <x:v>Used cost values the full recipe quantity. Purchase cost includes only whole packages bought.</x:v>
      </x:c>
      <x:c r="B17" s="2"/>
      <x:c r="C17" s="2"/>
      <x:c r="D17" s="2"/>
      <x:c r="E17" s="2"/>
      <x:c r="F17" s="2"/>
      <x:c r="G17" s="2"/>
      <x:c r="H17" s="2"/>
      <x:c r="I17" s="2"/>
      <x:c r="J17" s="2"/>
    </x:row>
  </x:sheetData>
  <x:conditionalFormatting sqref="A8:J12">
    <x:cfRule type="expression" dxfId="0" priority="1">
      <x:formula>$F8&gt;0</x:formula>
    </x:cfRule>
  </x:conditionalFormatting>
  <x:conditionalFormatting sqref="H14:H14">
    <x:cfRule type="expression" dxfId="1" priority="2">
      <x:formula>H14&gt;$F$4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de78bda95e45a6"/>
  </x:tableParts>
</x:worksheet>
</file>

<file path=xl/worksheets/sheet4.xml><?xml version="1.0" encoding="utf-8"?>
<x:worksheet xmlns:x="http://schemas.openxmlformats.org/spreadsheetml/2006/main">
  <x:sheetPr>
    <x:tabColor rgb="FF233D4D"/>
  </x:sheetPr>
  <x:sheetViews>
    <x:sheetView showGridLines="0" workbookViewId="0"/>
  </x:sheetViews>
  <x:sheetFormatPr defaultRowHeight="15"/>
  <x:cols>
    <x:col min="1" max="1" width="35" hidden="0" customWidth="1"/>
    <x:col min="2" max="2" width="3" hidden="0" customWidth="1"/>
    <x:col min="3" max="3" width="19" hidden="0" customWidth="1"/>
    <x:col min="4" max="4" width="15" hidden="0" customWidth="1"/>
    <x:col min="5" max="5" width="15" hidden="0" customWidth="1"/>
    <x:col min="6" max="6" width="3" hidden="0" customWidth="1"/>
    <x:col min="7" max="7" width="28" hidden="0" customWidth="1"/>
    <x:col min="8" max="8" width="21" hidden="0" customWidth="1"/>
    <x:col min="9" max="9" width="23" hidden="0" customWidth="1"/>
    <x:col min="10" max="10" width="9" hidden="0" customWidth="1"/>
    <x:col min="11" max="11" width="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Carbonara meal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2" t="str">
        <x:v>Desired servings</x:v>
      </x:c>
      <x:c r="B5" s="2"/>
      <x:c r="C5" s="41" t="n">
        <x:f>'Setup'!B6</x:f>
        <x:v>6</x:v>
      </x:c>
      <x:c r="D5" s="2"/>
      <x:c r="E5" s="2"/>
      <x:c r="F5" s="2"/>
      <x:c r="G5" s="26" t="str">
        <x:v>Ingredient</x:v>
      </x:c>
      <x:c r="H5" s="27" t="str">
        <x:v>Purchase cost (USD)</x:v>
      </x:c>
      <x:c r="I5" s="28" t="str">
        <x:v>Used cost (USD)</x:v>
      </x:c>
      <x:c r="J5" s="2"/>
      <x:c r="K5" s="2"/>
    </x:row>
    <x:row r="6" ht="24" customHeight="1">
      <x:c r="A6" s="2" t="str">
        <x:v>Used-ingredient cost (USD)</x:v>
      </x:c>
      <x:c r="B6" s="2"/>
      <x:c r="C6" s="42" t="n">
        <x:f>'ShoppingList'!J14</x:f>
        <x:v>18.569999999999997</x:v>
      </x:c>
      <x:c r="D6" s="2"/>
      <x:c r="E6" s="2"/>
      <x:c r="F6" s="2"/>
      <x:c r="G6" s="2" t="str">
        <x:f>'ShoppingList'!A8</x:f>
        <x:v>Spaghetti (dry)</x:v>
      </x:c>
      <x:c r="H6" s="42" t="n">
        <x:f>'ShoppingList'!H8</x:f>
        <x:v>2.5</x:v>
      </x:c>
      <x:c r="I6" s="42" t="n">
        <x:f>'ShoppingList'!J8</x:f>
        <x:v>3</x:v>
      </x:c>
      <x:c r="J6" s="2"/>
      <x:c r="K6" s="2"/>
    </x:row>
    <x:row r="7" ht="24" customHeight="1">
      <x:c r="A7" s="2" t="str">
        <x:v>Used cost per serving (USD)</x:v>
      </x:c>
      <x:c r="B7" s="2"/>
      <x:c r="C7" s="42" t="n">
        <x:f>ROUND(ROUND(C6/C5,10),2)</x:f>
        <x:v>3.1</x:v>
      </x:c>
      <x:c r="D7" s="2"/>
      <x:c r="E7" s="2"/>
      <x:c r="F7" s="2"/>
      <x:c r="G7" s="2" t="str">
        <x:f>'ShoppingList'!A9</x:f>
        <x:v>Guanciale</x:v>
      </x:c>
      <x:c r="H7" s="42" t="n">
        <x:f>'ShoppingList'!H9</x:f>
        <x:v>12</x:v>
      </x:c>
      <x:c r="I7" s="42" t="n">
        <x:f>'ShoppingList'!J9</x:f>
        <x:v>9.6</x:v>
      </x:c>
      <x:c r="J7" s="2"/>
      <x:c r="K7" s="2"/>
    </x:row>
    <x:row r="8" ht="24" customHeight="1">
      <x:c r="A8" s="43" t="str">
        <x:v>Total purchase cost (USD)</x:v>
      </x:c>
      <x:c r="B8" s="43"/>
      <x:c r="C8" s="46" t="n">
        <x:f>'ShoppingList'!H14</x:f>
        <x:v>25.62</x:v>
      </x:c>
      <x:c r="D8" s="2"/>
      <x:c r="E8" s="2"/>
      <x:c r="F8" s="2"/>
      <x:c r="G8" s="2" t="str">
        <x:f>'ShoppingList'!A10</x:f>
        <x:v>Egg yolks</x:v>
      </x:c>
      <x:c r="H8" s="42" t="n">
        <x:f>'ShoppingList'!H10</x:f>
        <x:v>1.62</x:v>
      </x:c>
      <x:c r="I8" s="42" t="n">
        <x:f>'ShoppingList'!J10</x:f>
        <x:v>1.62</x:v>
      </x:c>
      <x:c r="J8" s="2"/>
      <x:c r="K8" s="2"/>
    </x:row>
    <x:row r="9" ht="24" customHeight="1">
      <x:c r="A9" s="43" t="str">
        <x:v>Shopping budget (USD)</x:v>
      </x:c>
      <x:c r="B9" s="43"/>
      <x:c r="C9" s="46" t="n">
        <x:f>'Setup'!B7</x:f>
        <x:v>20</x:v>
      </x:c>
      <x:c r="D9" s="2"/>
      <x:c r="E9" s="2"/>
      <x:c r="F9" s="2"/>
      <x:c r="G9" s="2" t="str">
        <x:f>'ShoppingList'!A11</x:f>
        <x:v>Pecorino Romano</x:v>
      </x:c>
      <x:c r="H9" s="42" t="n">
        <x:f>'ShoppingList'!H11</x:f>
        <x:v>7</x:v>
      </x:c>
      <x:c r="I9" s="42" t="n">
        <x:f>'ShoppingList'!J11</x:f>
        <x:v>4.2</x:v>
      </x:c>
      <x:c r="J9" s="2"/>
      <x:c r="K9" s="2"/>
    </x:row>
    <x:row r="10" ht="24" customHeight="1">
      <x:c r="A10" s="43" t="str">
        <x:v>Budget remaining (USD)</x:v>
      </x:c>
      <x:c r="B10" s="43"/>
      <x:c r="C10" s="46" t="n">
        <x:f>C9-C8</x:f>
        <x:v>-5.620000000000001</x:v>
      </x:c>
      <x:c r="D10" s="2"/>
      <x:c r="E10" s="2"/>
      <x:c r="F10" s="2"/>
      <x:c r="G10" s="2" t="str">
        <x:f>'ShoppingList'!A12</x:f>
        <x:v>Black pepper</x:v>
      </x:c>
      <x:c r="H10" s="42" t="n">
        <x:f>'ShoppingList'!H12</x:f>
        <x:v>2.5</x:v>
      </x:c>
      <x:c r="I10" s="42" t="n">
        <x:f>'ShoppingList'!J12</x:f>
        <x:v>0.15</x:v>
      </x:c>
      <x:c r="J10" s="2"/>
      <x:c r="K10" s="2"/>
    </x:row>
    <x:row r="11" ht="24" customHeight="1">
      <x:c r="A11" s="2"/>
      <x:c r="B11" s="2"/>
      <x:c r="C11" s="39"/>
      <x:c r="D11" s="2"/>
      <x:c r="E11" s="2"/>
      <x:c r="F11" s="2"/>
      <x:c r="G11" s="2"/>
      <x:c r="H11" s="2"/>
      <x:c r="I11" s="2"/>
      <x:c r="J11" s="2"/>
      <x:c r="K11" s="2"/>
    </x:row>
    <x:row r="12" ht="24" customHeight="1">
      <x:c r="A12" s="2" t="str">
        <x:v>Budget status</x:v>
      </x:c>
      <x:c r="B12" s="2"/>
      <x:c r="C12" s="39" t="str">
        <x:f>IF(C8&lt;=C9,"Within budget","Over budget")</x:f>
        <x:v>Over budget</x:v>
      </x:c>
      <x:c r="D12" s="2"/>
      <x:c r="E12" s="2"/>
      <x:c r="F12" s="2"/>
      <x:c r="G12" s="2"/>
      <x:c r="H12" s="2"/>
      <x:c r="I12" s="2"/>
      <x:c r="J12" s="2"/>
      <x:c r="K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</x:sheetData>
  <x:conditionalFormatting sqref="C8:C8">
    <x:cfRule type="expression" dxfId="2" priority="1">
      <x:formula>$C$8&gt;$C$9</x:formula>
    </x:cfRule>
  </x:conditionalFormatting>
  <x:conditionalFormatting sqref="C10:C10">
    <x:cfRule type="cellIs" dxfId="3" priority="2" operator="lessThan">
      <x:formula>0</x:formula>
    </x:cfRule>
  </x:conditionalFormatting>
  <x:conditionalFormatting sqref="C12:C12">
    <x:cfRule type="expression" dxfId="4" priority="3">
      <x:formula>$C$8&gt;$C$9</x:formula>
    </x:cfRule>
  </x:conditionalFormatting>
  <x:conditionalFormatting sqref="G6:I10">
    <x:cfRule type="expression" dxfId="5" priority="4">
      <x:formula>$H6&gt;0</x:formula>
    </x:cfRule>
  </x:conditionalFormatting>
  <x:pageMargins left="0.7" right="0.7" top="0.75" bottom="0.75" header="0.3" footer="0.3"/>
  <x:drawing xmlns:r="http://schemas.openxmlformats.org/officeDocument/2006/relationships" r:id="Red2233a245be46c0"/>
</x:worksheet>
</file>