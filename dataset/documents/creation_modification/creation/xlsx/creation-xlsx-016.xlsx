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pc\Desktop\Create\xlsx\011-020_astra_light\Run_016\"/>
    </mc:Choice>
  </mc:AlternateContent>
  <xr:revisionPtr revIDLastSave="0" documentId="13_ncr:1_{0122EE85-0CF9-438E-ABC4-ACA73445C3A1}" xr6:coauthVersionLast="47" xr6:coauthVersionMax="47" xr10:uidLastSave="{00000000-0000-0000-0000-000000000000}"/>
  <bookViews>
    <workbookView xWindow="-120" yWindow="-120" windowWidth="38610" windowHeight="18720" xr2:uid="{00000000-000D-0000-FFFF-FFFF00000000}"/>
  </bookViews>
  <sheets>
    <sheet name="Setup" sheetId="1" r:id="rId1"/>
    <sheet name="Ingredients" sheetId="2" r:id="rId2"/>
    <sheet name="ShoppingList" sheetId="3" r:id="rId3"/>
    <sheet name="Dashboard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9" i="4" l="1"/>
  <c r="B5" i="4"/>
  <c r="F11" i="3"/>
  <c r="E11" i="3"/>
  <c r="C11" i="3"/>
  <c r="A11" i="3"/>
  <c r="F10" i="3"/>
  <c r="E10" i="3"/>
  <c r="C10" i="3"/>
  <c r="A10" i="3"/>
  <c r="F9" i="3"/>
  <c r="E9" i="3"/>
  <c r="C9" i="3"/>
  <c r="A9" i="3"/>
  <c r="F8" i="3"/>
  <c r="E8" i="3"/>
  <c r="C8" i="3"/>
  <c r="A8" i="3"/>
  <c r="F7" i="3"/>
  <c r="E7" i="3"/>
  <c r="C7" i="3"/>
  <c r="A7" i="3"/>
  <c r="B4" i="3"/>
  <c r="F11" i="2"/>
  <c r="G11" i="2" s="1"/>
  <c r="J11" i="3" s="1"/>
  <c r="F10" i="2"/>
  <c r="G10" i="2" s="1"/>
  <c r="J10" i="3" s="1"/>
  <c r="F9" i="2"/>
  <c r="G9" i="2" s="1"/>
  <c r="J9" i="3" s="1"/>
  <c r="F8" i="2"/>
  <c r="G8" i="2" s="1"/>
  <c r="J8" i="3" s="1"/>
  <c r="F7" i="2"/>
  <c r="G7" i="2" s="1"/>
  <c r="J7" i="3" s="1"/>
  <c r="J13" i="3" l="1"/>
  <c r="B6" i="4" s="1"/>
  <c r="B7" i="4" s="1"/>
  <c r="B7" i="3"/>
  <c r="D7" i="3" s="1"/>
  <c r="G7" i="3" s="1"/>
  <c r="H7" i="3" s="1"/>
  <c r="B8" i="3"/>
  <c r="D8" i="3" s="1"/>
  <c r="G8" i="3" s="1"/>
  <c r="H8" i="3" s="1"/>
  <c r="B9" i="3"/>
  <c r="D9" i="3" s="1"/>
  <c r="G9" i="3" s="1"/>
  <c r="H9" i="3" s="1"/>
  <c r="B10" i="3"/>
  <c r="D10" i="3" s="1"/>
  <c r="G10" i="3" s="1"/>
  <c r="H10" i="3" s="1"/>
  <c r="B11" i="3"/>
  <c r="D11" i="3" s="1"/>
  <c r="G11" i="3" s="1"/>
  <c r="H11" i="3" s="1"/>
  <c r="I8" i="3" l="1"/>
  <c r="I10" i="3"/>
  <c r="H13" i="3"/>
  <c r="B8" i="4" s="1"/>
  <c r="I11" i="3"/>
  <c r="I9" i="3"/>
  <c r="I7" i="3"/>
  <c r="B11" i="4" l="1"/>
  <c r="B10" i="4"/>
</calcChain>
</file>

<file path=xl/sharedStrings.xml><?xml version="1.0" encoding="utf-8"?>
<sst xmlns="http://schemas.openxmlformats.org/spreadsheetml/2006/main" count="46" uniqueCount="40">
  <si>
    <t>Carbonara meal setup</t>
  </si>
  <si>
    <t>Setting</t>
  </si>
  <si>
    <t>Value</t>
  </si>
  <si>
    <t>Base servings</t>
  </si>
  <si>
    <t>Desired servings</t>
  </si>
  <si>
    <t>Edit amber cells to plan your meal.</t>
  </si>
  <si>
    <t>Shopping budget (USD)</t>
  </si>
  <si>
    <t>Desired servings: whole numbers from 1 to 20.</t>
  </si>
  <si>
    <t>Budget: any nonnegative USD amount.</t>
  </si>
  <si>
    <t>Quantities and package sizes are measured in grams.</t>
  </si>
  <si>
    <t>Used cost includes ingredients supplied from stock.</t>
  </si>
  <si>
    <t>Recipe ingredients</t>
  </si>
  <si>
    <t>Source: supplied illustrative data. Egg yolks exclude shells and egg whites.</t>
  </si>
  <si>
    <t>Ingredient</t>
  </si>
  <si>
    <t>Base quantity (g)</t>
  </si>
  <si>
    <t>Stock available (g)</t>
  </si>
  <si>
    <t>Package size (g)</t>
  </si>
  <si>
    <t>Package price (USD)</t>
  </si>
  <si>
    <t>Required quantity (g)</t>
  </si>
  <si>
    <t>Used cost (USD)</t>
  </si>
  <si>
    <t>Spaghetti (dry)</t>
  </si>
  <si>
    <t>Guanciale</t>
  </si>
  <si>
    <t>Egg yolks</t>
  </si>
  <si>
    <t>Pecorino Romano</t>
  </si>
  <si>
    <t>Black pepper</t>
  </si>
  <si>
    <t>Shopping list</t>
  </si>
  <si>
    <t>Required (g)</t>
  </si>
  <si>
    <t>Stock (g)</t>
  </si>
  <si>
    <t>Additional needed (g)</t>
  </si>
  <si>
    <t>Packages to buy</t>
  </si>
  <si>
    <t>Purchase cost (USD)</t>
  </si>
  <si>
    <t>Remaining stock (g)</t>
  </si>
  <si>
    <t>Totals (USD)</t>
  </si>
  <si>
    <t>Carbonara cost dashboard</t>
  </si>
  <si>
    <t>Used-ingredient cost</t>
  </si>
  <si>
    <t>Used cost per serving</t>
  </si>
  <si>
    <t>Total purchase cost</t>
  </si>
  <si>
    <t>Budget</t>
  </si>
  <si>
    <t>Budget remaining</t>
  </si>
  <si>
    <t>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</si>
</sst>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.00;[Red]\(&quot;$&quot;#,##0.00\);&quot;$&quot;0.00"/>
    <numFmt numFmtId="165" formatCode="0.0"/>
  </numFmts>
  <fonts count="5">
    <font>
      <sz val="11"/>
      <name val="Carlito"/>
    </font>
    <font>
      <sz val="11"/>
      <color rgb="FF243247"/>
      <name val="Arial"/>
    </font>
    <font>
      <b/>
      <sz val="16"/>
      <color rgb="FF263F52"/>
      <name val="Arial"/>
    </font>
    <font>
      <b/>
      <sz val="11"/>
      <color rgb="FFFFFFFF"/>
      <name val="Arial"/>
    </font>
    <font>
      <b/>
      <sz val="11"/>
      <color rgb="FF243247"/>
      <name val="Arial"/>
    </font>
  </fonts>
  <fills count="5">
    <fill>
      <patternFill patternType="none"/>
    </fill>
    <fill>
      <patternFill patternType="gray125"/>
    </fill>
    <fill>
      <patternFill patternType="solid">
        <fgColor rgb="FF263F52"/>
      </patternFill>
    </fill>
    <fill>
      <patternFill patternType="solid">
        <fgColor rgb="FFFFF0BA"/>
      </patternFill>
    </fill>
    <fill>
      <patternFill patternType="solid">
        <fgColor rgb="FFE6EDF2"/>
      </patternFill>
    </fill>
  </fills>
  <borders count="2">
    <border>
      <left/>
      <right/>
      <top/>
      <bottom/>
      <diagonal/>
    </border>
    <border>
      <left/>
      <right/>
      <top/>
      <bottom style="thin">
        <color rgb="FFAAB8C2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NumberFormat="1" applyFont="1" applyFill="1" applyBorder="1"/>
    <xf numFmtId="0" fontId="2" fillId="0" borderId="0" xfId="0" applyNumberFormat="1" applyFont="1" applyFill="1" applyBorder="1"/>
    <xf numFmtId="0" fontId="1" fillId="0" borderId="1" xfId="0" applyNumberFormat="1" applyFont="1" applyFill="1" applyBorder="1"/>
    <xf numFmtId="0" fontId="3" fillId="2" borderId="0" xfId="0" applyNumberFormat="1" applyFont="1" applyFill="1" applyBorder="1" applyAlignment="1">
      <alignment horizontal="center" vertical="center" wrapText="1"/>
    </xf>
    <xf numFmtId="1" fontId="1" fillId="0" borderId="0" xfId="0" applyNumberFormat="1" applyFont="1" applyFill="1" applyBorder="1"/>
    <xf numFmtId="1" fontId="1" fillId="3" borderId="0" xfId="0" applyNumberFormat="1" applyFont="1" applyFill="1" applyBorder="1"/>
    <xf numFmtId="164" fontId="1" fillId="3" borderId="0" xfId="0" applyNumberFormat="1" applyFont="1" applyFill="1" applyBorder="1"/>
    <xf numFmtId="165" fontId="1" fillId="3" borderId="0" xfId="0" applyNumberFormat="1" applyFont="1" applyFill="1" applyBorder="1"/>
    <xf numFmtId="165" fontId="1" fillId="0" borderId="0" xfId="0" applyNumberFormat="1" applyFont="1" applyFill="1" applyBorder="1"/>
    <xf numFmtId="164" fontId="1" fillId="0" borderId="0" xfId="0" applyNumberFormat="1" applyFont="1" applyFill="1" applyBorder="1"/>
    <xf numFmtId="0" fontId="4" fillId="4" borderId="0" xfId="0" applyNumberFormat="1" applyFont="1" applyFill="1" applyBorder="1"/>
    <xf numFmtId="164" fontId="4" fillId="4" borderId="0" xfId="0" applyNumberFormat="1" applyFont="1" applyFill="1" applyBorder="1"/>
    <xf numFmtId="0" fontId="4" fillId="0" borderId="0" xfId="0" applyNumberFormat="1" applyFont="1" applyFill="1" applyBorder="1"/>
    <xf numFmtId="164" fontId="4" fillId="0" borderId="0" xfId="0" applyNumberFormat="1" applyFont="1" applyFill="1" applyBorder="1"/>
  </cellXfs>
  <cellStyles count="1">
    <cellStyle name="Normal" xfId="0" builtinId="0"/>
  </cellStyles>
  <dxfs count="5">
    <dxf>
      <font>
        <b/>
        <color rgb="FFA32424"/>
      </font>
      <fill>
        <patternFill patternType="solid">
          <bgColor rgb="FFFCE1DE"/>
        </patternFill>
      </fill>
    </dxf>
    <dxf>
      <font>
        <b/>
        <color rgb="FFA32424"/>
      </font>
      <fill>
        <patternFill patternType="solid">
          <bgColor rgb="FFFCE1DE"/>
        </patternFill>
      </fill>
    </dxf>
    <dxf>
      <font>
        <b/>
        <color rgb="FFA32424"/>
      </font>
      <fill>
        <patternFill patternType="solid">
          <bgColor rgb="FFFCE1DE"/>
        </patternFill>
      </fill>
    </dxf>
    <dxf>
      <font>
        <b/>
        <color rgb="FFA32424"/>
      </font>
      <fill>
        <patternFill patternType="solid">
          <bgColor rgb="FFFCE1DE"/>
        </patternFill>
      </fill>
    </dxf>
    <dxf>
      <fill>
        <patternFill patternType="solid">
          <bgColor rgb="FFFFF0BA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sz="1050">
                <a:latin typeface="Arial"/>
                <a:ea typeface="Arial"/>
                <a:cs typeface="Arial"/>
              </a:rPr>
              <a:t>Purchase cost by ingredient (USD)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Purchase cost (USD)</c:v>
          </c:tx>
          <c:spPr>
            <a:solidFill>
              <a:srgbClr val="527D93"/>
            </a:solidFill>
          </c:spPr>
          <c:invertIfNegative val="1"/>
          <c:cat>
            <c:strRef>
              <c:f>ShoppingList!$A$7:$A$11</c:f>
              <c:strCache>
                <c:ptCount val="5"/>
                <c:pt idx="0">
                  <c:v>Spaghetti (dry)</c:v>
                </c:pt>
                <c:pt idx="1">
                  <c:v>Guanciale</c:v>
                </c:pt>
                <c:pt idx="2">
                  <c:v>Egg yolks</c:v>
                </c:pt>
                <c:pt idx="3">
                  <c:v>Pecorino Romano</c:v>
                </c:pt>
                <c:pt idx="4">
                  <c:v>Black pepper</c:v>
                </c:pt>
              </c:strCache>
            </c:strRef>
          </c:cat>
          <c:val>
            <c:numRef>
              <c:f>ShoppingList!$H$7:$H$11</c:f>
              <c:numCache>
                <c:formatCode>"$"#,##0.00;[Red]\("$"#,##0.00\);"$"0.00</c:formatCode>
                <c:ptCount val="5"/>
                <c:pt idx="0">
                  <c:v>2.5</c:v>
                </c:pt>
                <c:pt idx="1">
                  <c:v>12</c:v>
                </c:pt>
                <c:pt idx="2">
                  <c:v>1.62</c:v>
                </c:pt>
                <c:pt idx="3">
                  <c:v>7</c:v>
                </c:pt>
                <c:pt idx="4">
                  <c:v>2.5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</c14:spPr>
              </c14:invertSolidFillFmt>
            </c:ext>
            <c:ext xmlns:c16="http://schemas.microsoft.com/office/drawing/2014/chart" uri="{C3380CC4-5D6E-409C-BE32-E72D297353CC}">
              <c16:uniqueId val="{00000000-EE68-464C-872B-00555754C0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txPr>
          <a:bodyPr anchorCtr="1"/>
          <a:lstStyle/>
          <a:p>
            <a:pPr>
              <a:defRPr sz="825">
                <a:latin typeface="Arial"/>
                <a:ea typeface="Arial"/>
                <a:cs typeface="Arial"/>
              </a:defRPr>
            </a:pPr>
            <a:endParaRPr lang="en-US"/>
          </a:p>
        </c:txPr>
        <c:crossAx val="48672768"/>
        <c:crosses val="autoZero"/>
        <c:auto val="1"/>
        <c:lblAlgn val="ctr"/>
        <c:lblOffset val="100"/>
        <c:noMultiLvlLbl val="1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\$0.00" sourceLinked="0"/>
        <c:majorTickMark val="none"/>
        <c:minorTickMark val="none"/>
        <c:tickLblPos val="nextTo"/>
        <c:txPr>
          <a:bodyPr anchorCtr="1"/>
          <a:lstStyle/>
          <a:p>
            <a:pPr>
              <a:defRPr>
                <a:latin typeface="Arial"/>
                <a:ea typeface="Arial"/>
                <a:cs typeface="Arial"/>
              </a:defRPr>
            </a:pPr>
            <a:endParaRPr lang="en-US"/>
          </a:p>
        </c:txPr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sz="1050">
                <a:latin typeface="Arial"/>
                <a:ea typeface="Arial"/>
                <a:cs typeface="Arial"/>
              </a:rPr>
              <a:t>Share of used-ingredient cost</a:t>
            </a:r>
          </a:p>
        </c:rich>
      </c:tx>
      <c:overlay val="0"/>
    </c:title>
    <c:autoTitleDeleted val="0"/>
    <c:plotArea>
      <c:layout/>
      <c:doughnutChart>
        <c:varyColors val="1"/>
        <c:ser>
          <c:idx val="0"/>
          <c:order val="0"/>
          <c:tx>
            <c:v>Used cost (USD)</c:v>
          </c:tx>
          <c:cat>
            <c:strRef>
              <c:f>Ingredients!$A$7:$A$11</c:f>
              <c:strCache>
                <c:ptCount val="5"/>
                <c:pt idx="0">
                  <c:v>Spaghetti (dry)</c:v>
                </c:pt>
                <c:pt idx="1">
                  <c:v>Guanciale</c:v>
                </c:pt>
                <c:pt idx="2">
                  <c:v>Egg yolks</c:v>
                </c:pt>
                <c:pt idx="3">
                  <c:v>Pecorino Romano</c:v>
                </c:pt>
                <c:pt idx="4">
                  <c:v>Black pepper</c:v>
                </c:pt>
              </c:strCache>
            </c:strRef>
          </c:cat>
          <c:val>
            <c:numRef>
              <c:f>Ingredients!$G$7:$G$11</c:f>
              <c:numCache>
                <c:formatCode>"$"#,##0.00;[Red]\("$"#,##0.00\);"$"0.00</c:formatCode>
                <c:ptCount val="5"/>
                <c:pt idx="0">
                  <c:v>3</c:v>
                </c:pt>
                <c:pt idx="1">
                  <c:v>9.6</c:v>
                </c:pt>
                <c:pt idx="2">
                  <c:v>1.62</c:v>
                </c:pt>
                <c:pt idx="3">
                  <c:v>4.2</c:v>
                </c:pt>
                <c:pt idx="4">
                  <c:v>0.15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497-4511-989F-4A5F0AA915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0"/>
      </c:doughnutChart>
    </c:plotArea>
    <c:legend>
      <c:legendPos val="b"/>
      <c:overlay val="0"/>
      <c:txPr>
        <a:bodyPr anchorCtr="1"/>
        <a:lstStyle/>
        <a:p>
          <a:pPr>
            <a:defRPr sz="825"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4</xdr:row>
      <xdr:rowOff>0</xdr:rowOff>
    </xdr:from>
    <xdr:to>
      <xdr:col>12</xdr:col>
      <xdr:colOff>0</xdr:colOff>
      <xdr:row>18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0</xdr:colOff>
      <xdr:row>19</xdr:row>
      <xdr:rowOff>0</xdr:rowOff>
    </xdr:from>
    <xdr:to>
      <xdr:col>12</xdr:col>
      <xdr:colOff>0</xdr:colOff>
      <xdr:row>34</xdr:row>
      <xdr:rowOff>0</xdr:rowOff>
    </xdr:to>
    <xdr:graphicFrame macro="">
      <xdr:nvGraphicFramePr>
        <xdr:cNvPr id="3" name="Chart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RecipeIngredients" displayName="RecipeIngredients" ref="A6:G11" totalsRowShown="0">
  <autoFilter ref="A6:G11" xr:uid="{00000000-0009-0000-0100-000001000000}"/>
  <tableColumns count="7">
    <tableColumn id="1" xr3:uid="{00000000-0010-0000-0000-000001000000}" name="Ingredient"/>
    <tableColumn id="2" xr3:uid="{00000000-0010-0000-0000-000002000000}" name="Base quantity (g)"/>
    <tableColumn id="3" xr3:uid="{00000000-0010-0000-0000-000003000000}" name="Stock available (g)"/>
    <tableColumn id="4" xr3:uid="{00000000-0010-0000-0000-000004000000}" name="Package size (g)"/>
    <tableColumn id="5" xr3:uid="{00000000-0010-0000-0000-000005000000}" name="Package price (USD)"/>
    <tableColumn id="6" xr3:uid="{00000000-0010-0000-0000-000006000000}" name="Required quantity (g)"/>
    <tableColumn id="7" xr3:uid="{00000000-0010-0000-0000-000007000000}" name="Used cost (USD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C79735"/>
  </sheetPr>
  <dimension ref="A1:L35"/>
  <sheetViews>
    <sheetView showGridLines="0" tabSelected="1" workbookViewId="0"/>
  </sheetViews>
  <sheetFormatPr defaultRowHeight="14.25"/>
  <cols>
    <col min="1" max="1" width="32" customWidth="1"/>
    <col min="2" max="2" width="18" customWidth="1"/>
    <col min="3" max="3" width="4" customWidth="1"/>
    <col min="4" max="4" width="70" customWidth="1"/>
  </cols>
  <sheetData>
    <row r="1" spans="1:12" ht="24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ht="24" customHeight="1">
      <c r="A2" s="2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</row>
    <row r="3" spans="1:12" ht="24" customHeight="1">
      <c r="A3" s="3"/>
      <c r="B3" s="3"/>
      <c r="C3" s="3"/>
      <c r="D3" s="3"/>
      <c r="E3" s="1"/>
      <c r="F3" s="1"/>
      <c r="G3" s="1"/>
      <c r="H3" s="1"/>
      <c r="I3" s="1"/>
      <c r="J3" s="1"/>
      <c r="K3" s="1"/>
      <c r="L3" s="1"/>
    </row>
    <row r="4" spans="1:12" ht="24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</row>
    <row r="5" spans="1:12" ht="48" customHeight="1">
      <c r="A5" s="4" t="s">
        <v>1</v>
      </c>
      <c r="B5" s="4" t="s">
        <v>2</v>
      </c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 ht="24" customHeight="1">
      <c r="A6" s="1" t="s">
        <v>3</v>
      </c>
      <c r="B6" s="5">
        <v>2</v>
      </c>
      <c r="C6" s="1"/>
      <c r="D6" s="1"/>
      <c r="E6" s="1"/>
      <c r="F6" s="1"/>
      <c r="G6" s="1"/>
      <c r="H6" s="1"/>
      <c r="I6" s="1"/>
      <c r="J6" s="1"/>
      <c r="K6" s="1"/>
      <c r="L6" s="1"/>
    </row>
    <row r="7" spans="1:12" ht="24" customHeight="1">
      <c r="A7" s="1" t="s">
        <v>4</v>
      </c>
      <c r="B7" s="6">
        <v>6</v>
      </c>
      <c r="C7" s="1"/>
      <c r="D7" s="1" t="s">
        <v>5</v>
      </c>
      <c r="E7" s="1"/>
      <c r="F7" s="1"/>
      <c r="G7" s="1"/>
      <c r="H7" s="1"/>
      <c r="I7" s="1"/>
      <c r="J7" s="1"/>
      <c r="K7" s="1"/>
      <c r="L7" s="1"/>
    </row>
    <row r="8" spans="1:12" ht="24" customHeight="1">
      <c r="A8" s="1" t="s">
        <v>6</v>
      </c>
      <c r="B8" s="7">
        <v>20</v>
      </c>
      <c r="C8" s="1"/>
      <c r="D8" s="1" t="s">
        <v>7</v>
      </c>
      <c r="E8" s="1"/>
      <c r="F8" s="1"/>
      <c r="G8" s="1"/>
      <c r="H8" s="1"/>
      <c r="I8" s="1"/>
      <c r="J8" s="1"/>
      <c r="K8" s="1"/>
      <c r="L8" s="1"/>
    </row>
    <row r="9" spans="1:12" ht="24" customHeight="1">
      <c r="A9" s="1"/>
      <c r="B9" s="1"/>
      <c r="C9" s="1"/>
      <c r="D9" s="1" t="s">
        <v>8</v>
      </c>
      <c r="E9" s="1"/>
      <c r="F9" s="1"/>
      <c r="G9" s="1"/>
      <c r="H9" s="1"/>
      <c r="I9" s="1"/>
      <c r="J9" s="1"/>
      <c r="K9" s="1"/>
      <c r="L9" s="1"/>
    </row>
    <row r="10" spans="1:12" ht="24" customHeight="1">
      <c r="A10" s="1"/>
      <c r="B10" s="1"/>
      <c r="C10" s="1"/>
      <c r="D10" s="1" t="s">
        <v>9</v>
      </c>
      <c r="E10" s="1"/>
      <c r="F10" s="1"/>
      <c r="G10" s="1"/>
      <c r="H10" s="1"/>
      <c r="I10" s="1"/>
      <c r="J10" s="1"/>
      <c r="K10" s="1"/>
      <c r="L10" s="1"/>
    </row>
    <row r="11" spans="1:12" ht="24" customHeight="1">
      <c r="A11" s="1"/>
      <c r="B11" s="1"/>
      <c r="C11" s="1"/>
      <c r="D11" s="1" t="s">
        <v>10</v>
      </c>
      <c r="E11" s="1"/>
      <c r="F11" s="1"/>
      <c r="G11" s="1"/>
      <c r="H11" s="1"/>
      <c r="I11" s="1"/>
      <c r="J11" s="1"/>
      <c r="K11" s="1"/>
      <c r="L11" s="1"/>
    </row>
    <row r="12" spans="1:12" ht="24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</row>
    <row r="13" spans="1:12" ht="24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</row>
    <row r="14" spans="1:12" ht="24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</row>
    <row r="15" spans="1:12" ht="24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</row>
    <row r="16" spans="1:12" ht="24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</row>
    <row r="17" spans="1:12" ht="24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</row>
    <row r="18" spans="1:12" ht="24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</row>
    <row r="19" spans="1:12" ht="24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</row>
    <row r="20" spans="1:12" ht="24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</row>
    <row r="21" spans="1:12" ht="24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</row>
    <row r="22" spans="1:12" ht="24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</row>
    <row r="23" spans="1:12" ht="24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</row>
    <row r="24" spans="1:12" ht="24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</row>
    <row r="25" spans="1:12" ht="24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</row>
    <row r="26" spans="1:12" ht="24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</row>
    <row r="27" spans="1:12" ht="24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</row>
    <row r="28" spans="1:12" ht="24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</row>
    <row r="29" spans="1:12" ht="24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</row>
    <row r="30" spans="1:12" ht="24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</row>
    <row r="31" spans="1:12" ht="24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</row>
    <row r="32" spans="1:12" ht="24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</row>
    <row r="33" spans="1:12" ht="24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</row>
    <row r="34" spans="1:12" ht="24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</row>
    <row r="35" spans="1:12" ht="24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</row>
  </sheetData>
  <dataValidations count="2">
    <dataValidation type="whole" showErrorMessage="1" errorTitle="Invalid servings" error="Enter a whole number from 1 to 20." sqref="B7" xr:uid="{00000000-0002-0000-0000-000000000000}">
      <formula1>1</formula1>
      <formula2>20</formula2>
    </dataValidation>
    <dataValidation type="decimal" operator="greaterThanOrEqual" showErrorMessage="1" errorTitle="Invalid budget" error="Enter a nonnegative number." sqref="B8" xr:uid="{00000000-0002-0000-0000-000001000000}">
      <formula1>0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35"/>
  <sheetViews>
    <sheetView showGridLines="0" workbookViewId="0">
      <pane ySplit="6" topLeftCell="A7" activePane="bottomLeft" state="frozen"/>
      <selection pane="bottomLeft"/>
    </sheetView>
  </sheetViews>
  <sheetFormatPr defaultRowHeight="14.25"/>
  <cols>
    <col min="1" max="1" width="25" customWidth="1"/>
    <col min="2" max="7" width="20" customWidth="1"/>
  </cols>
  <sheetData>
    <row r="1" spans="1:12" ht="24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ht="24" customHeight="1">
      <c r="A2" s="2" t="s">
        <v>11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</row>
    <row r="3" spans="1:12" ht="24" customHeight="1">
      <c r="A3" s="3"/>
      <c r="B3" s="3"/>
      <c r="C3" s="3"/>
      <c r="D3" s="3"/>
      <c r="E3" s="3"/>
      <c r="F3" s="3"/>
      <c r="G3" s="3"/>
      <c r="H3" s="1"/>
      <c r="I3" s="1"/>
      <c r="J3" s="1"/>
      <c r="K3" s="1"/>
      <c r="L3" s="1"/>
    </row>
    <row r="4" spans="1:12" ht="24" customHeight="1">
      <c r="A4" s="1" t="s">
        <v>12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</row>
    <row r="5" spans="1:12" ht="24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 ht="48" customHeight="1">
      <c r="A6" s="4" t="s">
        <v>13</v>
      </c>
      <c r="B6" s="4" t="s">
        <v>14</v>
      </c>
      <c r="C6" s="4" t="s">
        <v>15</v>
      </c>
      <c r="D6" s="4" t="s">
        <v>16</v>
      </c>
      <c r="E6" s="4" t="s">
        <v>17</v>
      </c>
      <c r="F6" s="4" t="s">
        <v>18</v>
      </c>
      <c r="G6" s="4" t="s">
        <v>19</v>
      </c>
      <c r="H6" s="1"/>
      <c r="I6" s="1"/>
      <c r="J6" s="1"/>
      <c r="K6" s="1"/>
      <c r="L6" s="1"/>
    </row>
    <row r="7" spans="1:12" ht="24" customHeight="1">
      <c r="A7" s="1" t="s">
        <v>20</v>
      </c>
      <c r="B7" s="8">
        <v>200</v>
      </c>
      <c r="C7" s="8">
        <v>100</v>
      </c>
      <c r="D7" s="8">
        <v>500</v>
      </c>
      <c r="E7" s="7">
        <v>2.5</v>
      </c>
      <c r="F7" s="9">
        <f>B7*Setup!$B$7/Setup!$B$6</f>
        <v>600</v>
      </c>
      <c r="G7" s="10">
        <f>F7/D7*E7</f>
        <v>3</v>
      </c>
      <c r="H7" s="1"/>
      <c r="I7" s="1"/>
      <c r="J7" s="1"/>
      <c r="K7" s="1"/>
      <c r="L7" s="1"/>
    </row>
    <row r="8" spans="1:12" ht="24" customHeight="1">
      <c r="A8" s="1" t="s">
        <v>21</v>
      </c>
      <c r="B8" s="8">
        <v>80</v>
      </c>
      <c r="C8" s="8">
        <v>20</v>
      </c>
      <c r="D8" s="8">
        <v>100</v>
      </c>
      <c r="E8" s="7">
        <v>4</v>
      </c>
      <c r="F8" s="9">
        <f>B8*Setup!$B$7/Setup!$B$6</f>
        <v>240</v>
      </c>
      <c r="G8" s="10">
        <f>F8/D8*E8</f>
        <v>9.6</v>
      </c>
      <c r="H8" s="1"/>
      <c r="I8" s="1"/>
      <c r="J8" s="1"/>
      <c r="K8" s="1"/>
      <c r="L8" s="1"/>
    </row>
    <row r="9" spans="1:12" ht="24" customHeight="1">
      <c r="A9" s="1" t="s">
        <v>22</v>
      </c>
      <c r="B9" s="8">
        <v>36</v>
      </c>
      <c r="C9" s="8">
        <v>0</v>
      </c>
      <c r="D9" s="8">
        <v>36</v>
      </c>
      <c r="E9" s="7">
        <v>0.54</v>
      </c>
      <c r="F9" s="9">
        <f>B9*Setup!$B$7/Setup!$B$6</f>
        <v>108</v>
      </c>
      <c r="G9" s="10">
        <f>F9/D9*E9</f>
        <v>1.62</v>
      </c>
      <c r="H9" s="1"/>
      <c r="I9" s="1"/>
      <c r="J9" s="1"/>
      <c r="K9" s="1"/>
      <c r="L9" s="1"/>
    </row>
    <row r="10" spans="1:12" ht="24" customHeight="1">
      <c r="A10" s="1" t="s">
        <v>23</v>
      </c>
      <c r="B10" s="8">
        <v>40</v>
      </c>
      <c r="C10" s="8">
        <v>10</v>
      </c>
      <c r="D10" s="8">
        <v>100</v>
      </c>
      <c r="E10" s="7">
        <v>3.5</v>
      </c>
      <c r="F10" s="9">
        <f>B10*Setup!$B$7/Setup!$B$6</f>
        <v>120</v>
      </c>
      <c r="G10" s="10">
        <f>F10/D10*E10</f>
        <v>4.2</v>
      </c>
      <c r="H10" s="1"/>
      <c r="I10" s="1"/>
      <c r="J10" s="1"/>
      <c r="K10" s="1"/>
      <c r="L10" s="1"/>
    </row>
    <row r="11" spans="1:12" ht="24" customHeight="1">
      <c r="A11" s="1" t="s">
        <v>24</v>
      </c>
      <c r="B11" s="8">
        <v>1</v>
      </c>
      <c r="C11" s="8">
        <v>2</v>
      </c>
      <c r="D11" s="8">
        <v>50</v>
      </c>
      <c r="E11" s="7">
        <v>2.5</v>
      </c>
      <c r="F11" s="9">
        <f>B11*Setup!$B$7/Setup!$B$6</f>
        <v>3</v>
      </c>
      <c r="G11" s="10">
        <f>F11/D11*E11</f>
        <v>0.15</v>
      </c>
      <c r="H11" s="1"/>
      <c r="I11" s="1"/>
      <c r="J11" s="1"/>
      <c r="K11" s="1"/>
      <c r="L11" s="1"/>
    </row>
    <row r="12" spans="1:12" ht="24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</row>
    <row r="13" spans="1:12" ht="24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</row>
    <row r="14" spans="1:12" ht="24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</row>
    <row r="15" spans="1:12" ht="24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</row>
    <row r="16" spans="1:12" ht="24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</row>
    <row r="17" spans="1:12" ht="24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</row>
    <row r="18" spans="1:12" ht="24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</row>
    <row r="19" spans="1:12" ht="24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</row>
    <row r="20" spans="1:12" ht="24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</row>
    <row r="21" spans="1:12" ht="24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</row>
    <row r="22" spans="1:12" ht="24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</row>
    <row r="23" spans="1:12" ht="24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</row>
    <row r="24" spans="1:12" ht="24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</row>
    <row r="25" spans="1:12" ht="24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</row>
    <row r="26" spans="1:12" ht="24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</row>
    <row r="27" spans="1:12" ht="24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</row>
    <row r="28" spans="1:12" ht="24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</row>
    <row r="29" spans="1:12" ht="24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</row>
    <row r="30" spans="1:12" ht="24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</row>
    <row r="31" spans="1:12" ht="24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</row>
    <row r="32" spans="1:12" ht="24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</row>
    <row r="33" spans="1:12" ht="24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</row>
    <row r="34" spans="1:12" ht="24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</row>
    <row r="35" spans="1:12" ht="24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35"/>
  <sheetViews>
    <sheetView showGridLines="0" workbookViewId="0">
      <pane ySplit="6" topLeftCell="A7" activePane="bottomLeft" state="frozen"/>
      <selection pane="bottomLeft"/>
    </sheetView>
  </sheetViews>
  <sheetFormatPr defaultRowHeight="14.25"/>
  <cols>
    <col min="1" max="1" width="25" customWidth="1"/>
    <col min="2" max="10" width="18" customWidth="1"/>
  </cols>
  <sheetData>
    <row r="1" spans="1:12" ht="24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ht="24" customHeight="1">
      <c r="A2" s="2" t="s">
        <v>25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</row>
    <row r="3" spans="1:12" ht="24" customHeight="1">
      <c r="A3" s="3"/>
      <c r="B3" s="3"/>
      <c r="C3" s="3"/>
      <c r="D3" s="3"/>
      <c r="E3" s="3"/>
      <c r="F3" s="3"/>
      <c r="G3" s="3"/>
      <c r="H3" s="3"/>
      <c r="I3" s="3"/>
      <c r="J3" s="3"/>
      <c r="K3" s="1"/>
      <c r="L3" s="1"/>
    </row>
    <row r="4" spans="1:12" ht="24" customHeight="1">
      <c r="A4" s="1" t="s">
        <v>4</v>
      </c>
      <c r="B4" s="1">
        <f>Setup!B7</f>
        <v>6</v>
      </c>
      <c r="C4" s="1"/>
      <c r="D4" s="1"/>
      <c r="E4" s="1"/>
      <c r="F4" s="1"/>
      <c r="G4" s="1"/>
      <c r="H4" s="1"/>
      <c r="I4" s="1"/>
      <c r="J4" s="1"/>
      <c r="K4" s="1"/>
      <c r="L4" s="1"/>
    </row>
    <row r="5" spans="1:12" ht="24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 ht="48" customHeight="1">
      <c r="A6" s="4" t="s">
        <v>13</v>
      </c>
      <c r="B6" s="4" t="s">
        <v>26</v>
      </c>
      <c r="C6" s="4" t="s">
        <v>27</v>
      </c>
      <c r="D6" s="4" t="s">
        <v>28</v>
      </c>
      <c r="E6" s="4" t="s">
        <v>16</v>
      </c>
      <c r="F6" s="4" t="s">
        <v>17</v>
      </c>
      <c r="G6" s="4" t="s">
        <v>29</v>
      </c>
      <c r="H6" s="4" t="s">
        <v>30</v>
      </c>
      <c r="I6" s="4" t="s">
        <v>31</v>
      </c>
      <c r="J6" s="4" t="s">
        <v>19</v>
      </c>
      <c r="K6" s="1"/>
      <c r="L6" s="1"/>
    </row>
    <row r="7" spans="1:12" ht="24" customHeight="1">
      <c r="A7" s="1" t="str">
        <f>Ingredients!A7</f>
        <v>Spaghetti (dry)</v>
      </c>
      <c r="B7" s="9">
        <f>Ingredients!F7</f>
        <v>600</v>
      </c>
      <c r="C7" s="9">
        <f>Ingredients!C7</f>
        <v>100</v>
      </c>
      <c r="D7" s="9">
        <f>MAX(B7-C7,0)</f>
        <v>500</v>
      </c>
      <c r="E7" s="9">
        <f>Ingredients!D7</f>
        <v>500</v>
      </c>
      <c r="F7" s="10">
        <f>Ingredients!E7</f>
        <v>2.5</v>
      </c>
      <c r="G7" s="5">
        <f>ROUNDUP(D7/E7,0)</f>
        <v>1</v>
      </c>
      <c r="H7" s="10">
        <f>G7*F7</f>
        <v>2.5</v>
      </c>
      <c r="I7" s="9">
        <f>C7+G7*E7-B7</f>
        <v>0</v>
      </c>
      <c r="J7" s="10">
        <f>Ingredients!G7</f>
        <v>3</v>
      </c>
      <c r="K7" s="1"/>
      <c r="L7" s="1"/>
    </row>
    <row r="8" spans="1:12" ht="24" customHeight="1">
      <c r="A8" s="1" t="str">
        <f>Ingredients!A8</f>
        <v>Guanciale</v>
      </c>
      <c r="B8" s="9">
        <f>Ingredients!F8</f>
        <v>240</v>
      </c>
      <c r="C8" s="9">
        <f>Ingredients!C8</f>
        <v>20</v>
      </c>
      <c r="D8" s="9">
        <f>MAX(B8-C8,0)</f>
        <v>220</v>
      </c>
      <c r="E8" s="9">
        <f>Ingredients!D8</f>
        <v>100</v>
      </c>
      <c r="F8" s="10">
        <f>Ingredients!E8</f>
        <v>4</v>
      </c>
      <c r="G8" s="5">
        <f>ROUNDUP(D8/E8,0)</f>
        <v>3</v>
      </c>
      <c r="H8" s="10">
        <f>G8*F8</f>
        <v>12</v>
      </c>
      <c r="I8" s="9">
        <f>C8+G8*E8-B8</f>
        <v>80</v>
      </c>
      <c r="J8" s="10">
        <f>Ingredients!G8</f>
        <v>9.6</v>
      </c>
      <c r="K8" s="1"/>
      <c r="L8" s="1"/>
    </row>
    <row r="9" spans="1:12" ht="24" customHeight="1">
      <c r="A9" s="1" t="str">
        <f>Ingredients!A9</f>
        <v>Egg yolks</v>
      </c>
      <c r="B9" s="9">
        <f>Ingredients!F9</f>
        <v>108</v>
      </c>
      <c r="C9" s="9">
        <f>Ingredients!C9</f>
        <v>0</v>
      </c>
      <c r="D9" s="9">
        <f>MAX(B9-C9,0)</f>
        <v>108</v>
      </c>
      <c r="E9" s="9">
        <f>Ingredients!D9</f>
        <v>36</v>
      </c>
      <c r="F9" s="10">
        <f>Ingredients!E9</f>
        <v>0.54</v>
      </c>
      <c r="G9" s="5">
        <f>ROUNDUP(D9/E9,0)</f>
        <v>3</v>
      </c>
      <c r="H9" s="10">
        <f>G9*F9</f>
        <v>1.62</v>
      </c>
      <c r="I9" s="9">
        <f>C9+G9*E9-B9</f>
        <v>0</v>
      </c>
      <c r="J9" s="10">
        <f>Ingredients!G9</f>
        <v>1.62</v>
      </c>
      <c r="K9" s="1"/>
      <c r="L9" s="1"/>
    </row>
    <row r="10" spans="1:12" ht="24" customHeight="1">
      <c r="A10" s="1" t="str">
        <f>Ingredients!A10</f>
        <v>Pecorino Romano</v>
      </c>
      <c r="B10" s="9">
        <f>Ingredients!F10</f>
        <v>120</v>
      </c>
      <c r="C10" s="9">
        <f>Ingredients!C10</f>
        <v>10</v>
      </c>
      <c r="D10" s="9">
        <f>MAX(B10-C10,0)</f>
        <v>110</v>
      </c>
      <c r="E10" s="9">
        <f>Ingredients!D10</f>
        <v>100</v>
      </c>
      <c r="F10" s="10">
        <f>Ingredients!E10</f>
        <v>3.5</v>
      </c>
      <c r="G10" s="5">
        <f>ROUNDUP(D10/E10,0)</f>
        <v>2</v>
      </c>
      <c r="H10" s="10">
        <f>G10*F10</f>
        <v>7</v>
      </c>
      <c r="I10" s="9">
        <f>C10+G10*E10-B10</f>
        <v>90</v>
      </c>
      <c r="J10" s="10">
        <f>Ingredients!G10</f>
        <v>4.2</v>
      </c>
      <c r="K10" s="1"/>
      <c r="L10" s="1"/>
    </row>
    <row r="11" spans="1:12" ht="24" customHeight="1">
      <c r="A11" s="1" t="str">
        <f>Ingredients!A11</f>
        <v>Black pepper</v>
      </c>
      <c r="B11" s="9">
        <f>Ingredients!F11</f>
        <v>3</v>
      </c>
      <c r="C11" s="9">
        <f>Ingredients!C11</f>
        <v>2</v>
      </c>
      <c r="D11" s="9">
        <f>MAX(B11-C11,0)</f>
        <v>1</v>
      </c>
      <c r="E11" s="9">
        <f>Ingredients!D11</f>
        <v>50</v>
      </c>
      <c r="F11" s="10">
        <f>Ingredients!E11</f>
        <v>2.5</v>
      </c>
      <c r="G11" s="5">
        <f>ROUNDUP(D11/E11,0)</f>
        <v>1</v>
      </c>
      <c r="H11" s="10">
        <f>G11*F11</f>
        <v>2.5</v>
      </c>
      <c r="I11" s="9">
        <f>C11+G11*E11-B11</f>
        <v>49</v>
      </c>
      <c r="J11" s="10">
        <f>Ingredients!G11</f>
        <v>0.15</v>
      </c>
      <c r="K11" s="1"/>
      <c r="L11" s="1"/>
    </row>
    <row r="12" spans="1:12" ht="24" customHeight="1">
      <c r="A12" s="1"/>
      <c r="B12" s="1"/>
      <c r="C12" s="1"/>
      <c r="D12" s="1"/>
      <c r="E12" s="1"/>
      <c r="F12" s="1"/>
      <c r="G12" s="1"/>
      <c r="H12" s="10"/>
      <c r="I12" s="1"/>
      <c r="J12" s="10"/>
      <c r="K12" s="1"/>
      <c r="L12" s="1"/>
    </row>
    <row r="13" spans="1:12" ht="24" customHeight="1">
      <c r="A13" s="11" t="s">
        <v>32</v>
      </c>
      <c r="B13" s="11"/>
      <c r="C13" s="11"/>
      <c r="D13" s="11"/>
      <c r="E13" s="11"/>
      <c r="F13" s="11"/>
      <c r="G13" s="11"/>
      <c r="H13" s="12">
        <f>SUM(H7:H11)</f>
        <v>25.62</v>
      </c>
      <c r="I13" s="11"/>
      <c r="J13" s="12">
        <f>SUM(J7:J11)</f>
        <v>18.569999999999997</v>
      </c>
      <c r="K13" s="1"/>
      <c r="L13" s="1"/>
    </row>
    <row r="14" spans="1:12" ht="24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</row>
    <row r="15" spans="1:12" ht="24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</row>
    <row r="16" spans="1:12" ht="24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</row>
    <row r="17" spans="1:12" ht="24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</row>
    <row r="18" spans="1:12" ht="24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</row>
    <row r="19" spans="1:12" ht="24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</row>
    <row r="20" spans="1:12" ht="24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</row>
    <row r="21" spans="1:12" ht="24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</row>
    <row r="22" spans="1:12" ht="24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</row>
    <row r="23" spans="1:12" ht="24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</row>
    <row r="24" spans="1:12" ht="24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</row>
    <row r="25" spans="1:12" ht="24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</row>
    <row r="26" spans="1:12" ht="24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</row>
    <row r="27" spans="1:12" ht="24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</row>
    <row r="28" spans="1:12" ht="24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</row>
    <row r="29" spans="1:12" ht="24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</row>
    <row r="30" spans="1:12" ht="24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</row>
    <row r="31" spans="1:12" ht="24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</row>
    <row r="32" spans="1:12" ht="24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</row>
    <row r="33" spans="1:12" ht="24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</row>
    <row r="34" spans="1:12" ht="24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</row>
    <row r="35" spans="1:12" ht="24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</row>
  </sheetData>
  <conditionalFormatting sqref="A7:J11">
    <cfRule type="expression" dxfId="4" priority="1">
      <formula>$G7&gt;0</formula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" id="{00000000-000E-0000-0200-000002000000}">
            <xm:f>H13&gt;Setup!$B$8</xm:f>
            <x14:dxf>
              <font>
                <b/>
                <color rgb="FFA32424"/>
              </font>
              <fill>
                <patternFill patternType="solid">
                  <bgColor rgb="FFFCE1DE"/>
                </patternFill>
              </fill>
            </x14:dxf>
          </x14:cfRule>
          <xm:sqref>H13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263F52"/>
  </sheetPr>
  <dimension ref="A1:L35"/>
  <sheetViews>
    <sheetView showGridLines="0" workbookViewId="0"/>
  </sheetViews>
  <sheetFormatPr defaultRowHeight="14.25"/>
  <cols>
    <col min="1" max="1" width="29" customWidth="1"/>
    <col min="2" max="2" width="22" customWidth="1"/>
    <col min="3" max="12" width="12" customWidth="1"/>
  </cols>
  <sheetData>
    <row r="1" spans="1:12" ht="24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ht="24" customHeight="1">
      <c r="A2" s="2" t="s">
        <v>33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</row>
    <row r="3" spans="1:12" ht="24" customHeight="1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</row>
    <row r="4" spans="1:12" ht="24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</row>
    <row r="5" spans="1:12" ht="24" customHeight="1">
      <c r="A5" s="1" t="s">
        <v>4</v>
      </c>
      <c r="B5" s="5">
        <f>Setup!B7</f>
        <v>6</v>
      </c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 ht="24" customHeight="1">
      <c r="A6" s="1" t="s">
        <v>34</v>
      </c>
      <c r="B6" s="10">
        <f>ShoppingList!J13</f>
        <v>18.569999999999997</v>
      </c>
      <c r="C6" s="1"/>
      <c r="D6" s="1"/>
      <c r="E6" s="1"/>
      <c r="F6" s="1"/>
      <c r="G6" s="1"/>
      <c r="H6" s="1"/>
      <c r="I6" s="1"/>
      <c r="J6" s="1"/>
      <c r="K6" s="1"/>
      <c r="L6" s="1"/>
    </row>
    <row r="7" spans="1:12" ht="24" customHeight="1">
      <c r="A7" s="1" t="s">
        <v>35</v>
      </c>
      <c r="B7" s="10">
        <f>B6/B5</f>
        <v>3.0949999999999993</v>
      </c>
      <c r="C7" s="1"/>
      <c r="D7" s="1"/>
      <c r="E7" s="1"/>
      <c r="F7" s="1"/>
      <c r="G7" s="1"/>
      <c r="H7" s="1"/>
      <c r="I7" s="1"/>
      <c r="J7" s="1"/>
      <c r="K7" s="1"/>
      <c r="L7" s="1"/>
    </row>
    <row r="8" spans="1:12" ht="24" customHeight="1">
      <c r="A8" s="13" t="s">
        <v>36</v>
      </c>
      <c r="B8" s="14">
        <f>ShoppingList!H13</f>
        <v>25.62</v>
      </c>
      <c r="C8" s="1"/>
      <c r="D8" s="1"/>
      <c r="E8" s="1"/>
      <c r="F8" s="1"/>
      <c r="G8" s="1"/>
      <c r="H8" s="1"/>
      <c r="I8" s="1"/>
      <c r="J8" s="1"/>
      <c r="K8" s="1"/>
      <c r="L8" s="1"/>
    </row>
    <row r="9" spans="1:12" ht="24" customHeight="1">
      <c r="A9" s="1" t="s">
        <v>37</v>
      </c>
      <c r="B9" s="10">
        <f>Setup!B8</f>
        <v>20</v>
      </c>
      <c r="C9" s="1"/>
      <c r="D9" s="1"/>
      <c r="E9" s="1"/>
      <c r="F9" s="1"/>
      <c r="G9" s="1"/>
      <c r="H9" s="1"/>
      <c r="I9" s="1"/>
      <c r="J9" s="1"/>
      <c r="K9" s="1"/>
      <c r="L9" s="1"/>
    </row>
    <row r="10" spans="1:12" ht="24" customHeight="1">
      <c r="A10" s="1" t="s">
        <v>38</v>
      </c>
      <c r="B10" s="10">
        <f>B9-B8</f>
        <v>-5.620000000000001</v>
      </c>
      <c r="C10" s="1"/>
      <c r="D10" s="1"/>
      <c r="E10" s="1"/>
      <c r="F10" s="1"/>
      <c r="G10" s="1"/>
      <c r="H10" s="1"/>
      <c r="I10" s="1"/>
      <c r="J10" s="1"/>
      <c r="K10" s="1"/>
      <c r="L10" s="1"/>
    </row>
    <row r="11" spans="1:12" ht="24" customHeight="1">
      <c r="A11" s="1" t="s">
        <v>39</v>
      </c>
      <c r="B11" s="1" t="str">
        <f>IF(B8&lt;=B9,"Within budget","Over budget")</f>
        <v>Over budget</v>
      </c>
      <c r="C11" s="1"/>
      <c r="D11" s="1"/>
      <c r="E11" s="1"/>
      <c r="F11" s="1"/>
      <c r="G11" s="1"/>
      <c r="H11" s="1"/>
      <c r="I11" s="1"/>
      <c r="J11" s="1"/>
      <c r="K11" s="1"/>
      <c r="L11" s="1"/>
    </row>
    <row r="12" spans="1:12" ht="24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</row>
    <row r="13" spans="1:12" ht="24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</row>
    <row r="14" spans="1:12" ht="24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</row>
    <row r="15" spans="1:12" ht="24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</row>
    <row r="16" spans="1:12" ht="24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</row>
    <row r="17" spans="1:12" ht="24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</row>
    <row r="18" spans="1:12" ht="24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</row>
    <row r="19" spans="1:12" ht="24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</row>
    <row r="20" spans="1:12" ht="24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</row>
    <row r="21" spans="1:12" ht="24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</row>
    <row r="22" spans="1:12" ht="24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</row>
    <row r="23" spans="1:12" ht="24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</row>
    <row r="24" spans="1:12" ht="24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</row>
    <row r="25" spans="1:12" ht="24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</row>
    <row r="26" spans="1:12" ht="24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</row>
    <row r="27" spans="1:12" ht="24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</row>
    <row r="28" spans="1:12" ht="24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</row>
    <row r="29" spans="1:12" ht="24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</row>
    <row r="30" spans="1:12" ht="24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</row>
    <row r="31" spans="1:12" ht="24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</row>
    <row r="32" spans="1:12" ht="24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</row>
    <row r="33" spans="1:12" ht="24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</row>
    <row r="34" spans="1:12" ht="24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</row>
    <row r="35" spans="1:12" ht="24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</row>
  </sheetData>
  <conditionalFormatting sqref="B8">
    <cfRule type="expression" dxfId="2" priority="1">
      <formula>$B$8&gt;$B$9</formula>
    </cfRule>
  </conditionalFormatting>
  <conditionalFormatting sqref="B10">
    <cfRule type="expression" dxfId="1" priority="2">
      <formula>$B$8&gt;$B$9</formula>
    </cfRule>
  </conditionalFormatting>
  <conditionalFormatting sqref="B11">
    <cfRule type="expression" dxfId="0" priority="3">
      <formula>$B$8&gt;$B$9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Setup</vt:lpstr>
      <vt:lpstr>Ingredients</vt:lpstr>
      <vt:lpstr>ShoppingList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pc</cp:lastModifiedBy>
  <dcterms:modified xsi:type="dcterms:W3CDTF">2026-10-03T07:10:47Z</dcterms:modified>
</cp:coreProperties>
</file>