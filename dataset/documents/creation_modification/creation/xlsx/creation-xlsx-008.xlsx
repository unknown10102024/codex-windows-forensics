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10-03\create-an-editable-excel-workbook-for-18\work\"/>
    </mc:Choice>
  </mc:AlternateContent>
  <xr:revisionPtr revIDLastSave="0" documentId="13_ncr:1_{7E18436C-349B-487D-BE80-0BC967D09BA0}" xr6:coauthVersionLast="47" xr6:coauthVersionMax="47" xr10:uidLastSave="{00000000-0000-0000-0000-000000000000}"/>
  <bookViews>
    <workbookView xWindow="-120" yWindow="-120" windowWidth="38610" windowHeight="18720" activeTab="3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definedNames>
    <definedName name="_xlnm.Print_Area" localSheetId="3">Dashboard!$A$1:$N$35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F4" i="3"/>
  <c r="B4" i="3"/>
  <c r="F11" i="2"/>
  <c r="B11" i="3" s="1"/>
  <c r="D11" i="3" s="1"/>
  <c r="F10" i="2"/>
  <c r="G10" i="2" s="1"/>
  <c r="J10" i="3" s="1"/>
  <c r="F9" i="2"/>
  <c r="B9" i="3" s="1"/>
  <c r="D9" i="3" s="1"/>
  <c r="F8" i="2"/>
  <c r="G8" i="2" s="1"/>
  <c r="J8" i="3" s="1"/>
  <c r="F7" i="2"/>
  <c r="B7" i="3" s="1"/>
  <c r="D7" i="3" s="1"/>
  <c r="G7" i="3" l="1"/>
  <c r="H7" i="3" s="1"/>
  <c r="G9" i="3"/>
  <c r="H9" i="3" s="1"/>
  <c r="G11" i="3"/>
  <c r="H11" i="3" s="1"/>
  <c r="B8" i="3"/>
  <c r="D8" i="3" s="1"/>
  <c r="G8" i="3" s="1"/>
  <c r="H8" i="3" s="1"/>
  <c r="B10" i="3"/>
  <c r="D10" i="3" s="1"/>
  <c r="G10" i="3" s="1"/>
  <c r="H10" i="3" s="1"/>
  <c r="G7" i="2"/>
  <c r="J7" i="3" s="1"/>
  <c r="G9" i="2"/>
  <c r="J9" i="3" s="1"/>
  <c r="G11" i="2"/>
  <c r="J11" i="3" s="1"/>
  <c r="I7" i="3"/>
  <c r="I11" i="3" l="1"/>
  <c r="I9" i="3"/>
  <c r="I8" i="3"/>
  <c r="H13" i="3"/>
  <c r="B8" i="4" s="1"/>
  <c r="B10" i="4" s="1"/>
  <c r="I10" i="3"/>
  <c r="J13" i="3"/>
  <c r="B6" i="4" s="1"/>
  <c r="B7" i="4" s="1"/>
  <c r="B11" i="4" l="1"/>
</calcChain>
</file>

<file path=xl/sharedStrings.xml><?xml version="1.0" encoding="utf-8"?>
<sst xmlns="http://schemas.openxmlformats.org/spreadsheetml/2006/main" count="68" uniqueCount="56">
  <si>
    <t>Carbonara meal setup</t>
  </si>
  <si>
    <t>Setting</t>
  </si>
  <si>
    <t>Value</t>
  </si>
  <si>
    <t>Input guidance</t>
  </si>
  <si>
    <t>Base recipe servings</t>
  </si>
  <si>
    <t>Reference recipe size.</t>
  </si>
  <si>
    <t>Desired servings</t>
  </si>
  <si>
    <t>Editable whole number from 1 through 20.</t>
  </si>
  <si>
    <t>Shopping budget (USD)</t>
  </si>
  <si>
    <t>Editable nonnegative amount.</t>
  </si>
  <si>
    <t>Amber cells are editable inputs.</t>
  </si>
  <si>
    <t>How the costs work</t>
  </si>
  <si>
    <t>Used-ingredient cost</t>
  </si>
  <si>
    <t>Required grams valued at the package price per gram, including stock used.</t>
  </si>
  <si>
    <t>Purchase cost</t>
  </si>
  <si>
    <t>Whole packages needed after using available stock.</t>
  </si>
  <si>
    <t>Budget remaining</t>
  </si>
  <si>
    <t>Shopping budget less the total purchase cost.</t>
  </si>
  <si>
    <t>Recipe ingredients</t>
  </si>
  <si>
    <t>Source: supplied illustrative quantities and prices. All quantities and package sizes are grams.</t>
  </si>
  <si>
    <t>Egg yolks exclude shells and egg whites. Amber cells contain editable inputs.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</si>
  <si>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</si>
  <si>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</si>
  <si>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</si>
  <si>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</si>
  <si>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</si>
  <si>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</si>
  <si>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</si>
  <si>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</si>
  <si>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</si>
  <si>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</si>
  <si>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</si>
  <si>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</si>
  <si>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Required quantity = base quantity × desired servings ÷ base servings.</t>
  </si>
  <si>
    <t>Used-ingredient cost values all ingredients consumed, including quantities taken from stock.</t>
  </si>
  <si>
    <t>Carbonara shopping list</t>
  </si>
  <si>
    <t>Additional needed (g)</t>
  </si>
  <si>
    <t>Packages to buy</t>
  </si>
  <si>
    <t>Purchase cost (USD)</t>
  </si>
  <si>
    <t>Stock after cooking (g)</t>
  </si>
  <si>
    <t>TOTAL</t>
  </si>
  <si>
    <t>Highlighted rows require a purchase. Zero-purchase ingredients remain visible.</t>
  </si>
  <si>
    <t>Stock after cooking = available stock + purchased package contents − required quantity.</t>
  </si>
  <si>
    <t>Carbonara cost dashboard</t>
  </si>
  <si>
    <t>Meal summary</t>
  </si>
  <si>
    <t>Used cost per serving (USD)</t>
  </si>
  <si>
    <t>Total purchase cost (USD)</t>
  </si>
  <si>
    <t>Budget remaining (USD)</t>
  </si>
  <si>
    <t>Budget status</t>
  </si>
  <si>
    <t>Update the plan</t>
  </si>
  <si>
    <t>Edit servings and budget in Setup.</t>
  </si>
  <si>
    <t>Edit stock and prices in Ingredients.</t>
  </si>
  <si>
    <t>Cost of food used</t>
  </si>
  <si>
    <t>Includes ingredients taken from stock.</t>
  </si>
  <si>
    <t>Cost of shopping</t>
  </si>
  <si>
    <t>Whole packages after using available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</si>
</sst>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\(#,##0.0\);0.0"/>
  </numFmts>
  <fonts count="7">
    <font>
      <sz val="11"/>
      <name val="Carlito"/>
    </font>
    <font>
      <sz val="11"/>
      <color rgb="FF263747"/>
      <name val="Arial"/>
    </font>
    <font>
      <b/>
      <sz val="17"/>
      <color rgb="FF253F53"/>
      <name val="Arial"/>
    </font>
    <font>
      <b/>
      <sz val="11"/>
      <color rgb="FFFFFFFF"/>
      <name val="Arial"/>
    </font>
    <font>
      <sz val="11"/>
      <color rgb="FF235B9E"/>
      <name val="Arial"/>
    </font>
    <font>
      <i/>
      <sz val="11"/>
      <color rgb="FF627181"/>
      <name val="Arial"/>
    </font>
    <font>
      <b/>
      <sz val="11"/>
      <color rgb="FF263747"/>
      <name val="Arial"/>
    </font>
  </fonts>
  <fills count="5">
    <fill>
      <patternFill patternType="none"/>
    </fill>
    <fill>
      <patternFill patternType="gray125"/>
    </fill>
    <fill>
      <patternFill patternType="solid">
        <fgColor rgb="FF253F53"/>
      </patternFill>
    </fill>
    <fill>
      <patternFill patternType="solid">
        <fgColor rgb="FFEEF3F6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E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253F53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" fontId="1" fillId="3" borderId="0" xfId="0" applyNumberFormat="1" applyFont="1" applyFill="1" applyBorder="1" applyAlignment="1">
      <alignment vertical="center"/>
    </xf>
    <xf numFmtId="1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/>
    </xf>
    <xf numFmtId="164" fontId="6" fillId="3" borderId="5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horizontal="right" vertical="center"/>
    </xf>
    <xf numFmtId="164" fontId="1" fillId="3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b/>
        <color rgb="FF9C272C"/>
      </font>
      <fill>
        <patternFill patternType="solid">
          <bgColor rgb="FFFCE7E7"/>
        </patternFill>
      </fill>
    </dxf>
    <dxf>
      <font>
        <b/>
        <color rgb="FF9C272C"/>
      </font>
      <fill>
        <patternFill patternType="solid">
          <bgColor rgb="FFFCE7E7"/>
        </patternFill>
      </fill>
    </dxf>
    <dxf>
      <font>
        <b/>
        <color rgb="FF9C272C"/>
      </font>
      <fill>
        <patternFill patternType="solid">
          <bgColor rgb="FFFCE7E7"/>
        </patternFill>
      </fill>
    </dxf>
    <dxf>
      <font>
        <b/>
        <color rgb="FF9C272C"/>
      </font>
      <fill>
        <patternFill patternType="solid">
          <bgColor rgb="FFFCE7E7"/>
        </patternFill>
      </fill>
    </dxf>
    <dxf>
      <fill>
        <patternFill patternType="solid">
          <bgColor rgb="FFFFF0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557B96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725-4A80-8CD7-F896CC7B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ShoppingList!$J$7:$J$11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C-4D6B-819F-6E176013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oppingTable" displayName="ShoppingTable" ref="A6:J11" totalsRowShown="0">
  <autoFilter ref="A6:J11" xr:uid="{00000000-0009-0000-0100-000002000000}"/>
  <tableColumns count="10">
    <tableColumn id="1" xr3:uid="{00000000-0010-0000-0100-000001000000}" name="Ingredient"/>
    <tableColumn id="2" xr3:uid="{00000000-0010-0000-0100-000002000000}" name="Required quantity (g)"/>
    <tableColumn id="3" xr3:uid="{00000000-0010-0000-0100-000003000000}" name="Stock available (g)"/>
    <tableColumn id="4" xr3:uid="{00000000-0010-0000-0100-000004000000}" name="Additional needed (g)"/>
    <tableColumn id="5" xr3:uid="{00000000-0010-0000-0100-000005000000}" name="Package size (g)"/>
    <tableColumn id="6" xr3:uid="{00000000-0010-0000-0100-000006000000}" name="Package price (USD)"/>
    <tableColumn id="7" xr3:uid="{00000000-0010-0000-0100-000007000000}" name="Packages to buy"/>
    <tableColumn id="8" xr3:uid="{00000000-0010-0000-0100-000008000000}" name="Purchase cost (USD)"/>
    <tableColumn id="9" xr3:uid="{00000000-0010-0000-0100-000009000000}" name="Stock after cooking (g)"/>
    <tableColumn id="10" xr3:uid="{00000000-0010-0000-0100-00000A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4849A"/>
  </sheetPr>
  <dimension ref="A1:C16"/>
  <sheetViews>
    <sheetView showGridLines="0" workbookViewId="0"/>
  </sheetViews>
  <sheetFormatPr defaultRowHeight="14.25"/>
  <cols>
    <col min="1" max="1" width="31" customWidth="1"/>
    <col min="2" max="2" width="20" customWidth="1"/>
    <col min="3" max="3" width="67" customWidth="1"/>
  </cols>
  <sheetData>
    <row r="1" spans="1:3" ht="23.1" customHeight="1">
      <c r="A1" s="1"/>
      <c r="B1" s="1"/>
      <c r="C1" s="1"/>
    </row>
    <row r="2" spans="1:3" ht="32.1" customHeight="1">
      <c r="A2" s="2" t="s">
        <v>0</v>
      </c>
      <c r="B2" s="3"/>
      <c r="C2" s="3"/>
    </row>
    <row r="3" spans="1:3" ht="23.1" customHeight="1">
      <c r="A3" s="1"/>
      <c r="B3" s="1"/>
      <c r="C3" s="1"/>
    </row>
    <row r="4" spans="1:3" ht="42" customHeight="1">
      <c r="A4" s="4" t="s">
        <v>1</v>
      </c>
      <c r="B4" s="5" t="s">
        <v>2</v>
      </c>
      <c r="C4" s="6" t="s">
        <v>3</v>
      </c>
    </row>
    <row r="5" spans="1:3" ht="32.1" customHeight="1">
      <c r="A5" s="1" t="s">
        <v>4</v>
      </c>
      <c r="B5" s="9">
        <v>2</v>
      </c>
      <c r="C5" s="1" t="s">
        <v>5</v>
      </c>
    </row>
    <row r="6" spans="1:3" ht="32.1" customHeight="1">
      <c r="A6" s="1" t="s">
        <v>6</v>
      </c>
      <c r="B6" s="10">
        <v>6</v>
      </c>
      <c r="C6" s="1" t="s">
        <v>7</v>
      </c>
    </row>
    <row r="7" spans="1:3" ht="32.1" customHeight="1">
      <c r="A7" s="1" t="s">
        <v>8</v>
      </c>
      <c r="B7" s="11">
        <v>20</v>
      </c>
      <c r="C7" s="1" t="s">
        <v>9</v>
      </c>
    </row>
    <row r="8" spans="1:3" ht="23.1" customHeight="1">
      <c r="A8" s="1"/>
      <c r="B8" s="1"/>
      <c r="C8" s="1"/>
    </row>
    <row r="9" spans="1:3" ht="23.1" customHeight="1">
      <c r="A9" s="12" t="s">
        <v>10</v>
      </c>
      <c r="B9" s="1"/>
      <c r="C9" s="1"/>
    </row>
    <row r="10" spans="1:3" ht="23.1" customHeight="1">
      <c r="A10" s="1"/>
      <c r="B10" s="1"/>
      <c r="C10" s="1"/>
    </row>
    <row r="11" spans="1:3" ht="23.1" customHeight="1">
      <c r="A11" s="13" t="s">
        <v>11</v>
      </c>
      <c r="B11" s="1"/>
      <c r="C11" s="1"/>
    </row>
    <row r="12" spans="1:3" ht="23.1" customHeight="1">
      <c r="A12" s="1" t="s">
        <v>12</v>
      </c>
      <c r="B12" s="1" t="s">
        <v>13</v>
      </c>
      <c r="C12" s="1"/>
    </row>
    <row r="13" spans="1:3" ht="23.1" customHeight="1">
      <c r="A13" s="1" t="s">
        <v>14</v>
      </c>
      <c r="B13" s="1" t="s">
        <v>15</v>
      </c>
      <c r="C13" s="1"/>
    </row>
    <row r="14" spans="1:3" ht="23.1" customHeight="1">
      <c r="A14" s="1" t="s">
        <v>16</v>
      </c>
      <c r="B14" s="1" t="s">
        <v>17</v>
      </c>
      <c r="C14" s="1"/>
    </row>
    <row r="15" spans="1:3" ht="23.1" customHeight="1">
      <c r="A15" s="1"/>
      <c r="B15" s="1"/>
      <c r="C15" s="1"/>
    </row>
    <row r="16" spans="1:3" ht="23.1" customHeight="1">
      <c r="A16" s="1"/>
      <c r="B16" s="1"/>
      <c r="C16" s="1"/>
    </row>
  </sheetData>
  <dataValidations count="2">
    <dataValidation type="whole" showErrorMessage="1" errorTitle="Check this input" error="Enter a whole number from 1 through 20." sqref="B6" xr:uid="{00000000-0002-0000-0000-000000000000}">
      <formula1>1</formula1>
      <formula2>20</formula2>
    </dataValidation>
    <dataValidation type="decimal" operator="greaterThanOrEqual" showErrorMessage="1" errorTitle="Check this input" error="Enter a number of zero or more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" customWidth="1"/>
    <col min="2" max="4" width="18" customWidth="1"/>
    <col min="5" max="7" width="21" customWidth="1"/>
  </cols>
  <sheetData>
    <row r="1" spans="1:7" ht="23.1" customHeight="1">
      <c r="A1" s="1"/>
      <c r="B1" s="1"/>
      <c r="C1" s="1"/>
      <c r="D1" s="1"/>
      <c r="E1" s="1"/>
      <c r="F1" s="1"/>
      <c r="G1" s="1"/>
    </row>
    <row r="2" spans="1:7" ht="32.1" customHeight="1">
      <c r="A2" s="2" t="s">
        <v>18</v>
      </c>
      <c r="B2" s="3"/>
      <c r="C2" s="3"/>
      <c r="D2" s="3"/>
      <c r="E2" s="3"/>
      <c r="F2" s="3"/>
      <c r="G2" s="3"/>
    </row>
    <row r="3" spans="1:7" ht="23.1" customHeight="1">
      <c r="A3" s="12" t="s">
        <v>19</v>
      </c>
      <c r="B3" s="1"/>
      <c r="C3" s="1"/>
      <c r="D3" s="1"/>
      <c r="E3" s="1"/>
      <c r="F3" s="1"/>
      <c r="G3" s="1"/>
    </row>
    <row r="4" spans="1:7" ht="23.1" customHeight="1">
      <c r="A4" s="12" t="s">
        <v>20</v>
      </c>
      <c r="B4" s="1"/>
      <c r="C4" s="1"/>
      <c r="D4" s="1"/>
      <c r="E4" s="1"/>
      <c r="F4" s="1"/>
      <c r="G4" s="1"/>
    </row>
    <row r="5" spans="1:7" ht="23.1" customHeight="1">
      <c r="A5" s="1"/>
      <c r="B5" s="1"/>
      <c r="C5" s="1"/>
      <c r="D5" s="1"/>
      <c r="E5" s="1"/>
      <c r="F5" s="1"/>
      <c r="G5" s="1"/>
    </row>
    <row r="6" spans="1:7" ht="42" customHeight="1">
      <c r="A6" s="4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6" t="s">
        <v>27</v>
      </c>
    </row>
    <row r="7" spans="1:7" ht="30.95" customHeight="1">
      <c r="A7" s="15" t="s">
        <v>28</v>
      </c>
      <c r="B7" s="16">
        <v>200</v>
      </c>
      <c r="C7" s="16">
        <v>100</v>
      </c>
      <c r="D7" s="16">
        <v>500</v>
      </c>
      <c r="E7" s="11">
        <v>2.5</v>
      </c>
      <c r="F7" s="17">
        <f>B7*Setup!$B$6/Setup!$B$5</f>
        <v>600</v>
      </c>
      <c r="G7" s="18">
        <f>F7/D7*E7</f>
        <v>3</v>
      </c>
    </row>
    <row r="8" spans="1:7" ht="30.95" customHeight="1">
      <c r="A8" s="15" t="s">
        <v>29</v>
      </c>
      <c r="B8" s="16">
        <v>80</v>
      </c>
      <c r="C8" s="16">
        <v>20</v>
      </c>
      <c r="D8" s="16">
        <v>100</v>
      </c>
      <c r="E8" s="11">
        <v>4</v>
      </c>
      <c r="F8" s="17">
        <f>B8*Setup!$B$6/Setup!$B$5</f>
        <v>240</v>
      </c>
      <c r="G8" s="18">
        <f>F8/D8*E8</f>
        <v>9.6</v>
      </c>
    </row>
    <row r="9" spans="1:7" ht="30.95" customHeight="1">
      <c r="A9" s="15" t="s">
        <v>30</v>
      </c>
      <c r="B9" s="16">
        <v>36</v>
      </c>
      <c r="C9" s="16">
        <v>0</v>
      </c>
      <c r="D9" s="16">
        <v>36</v>
      </c>
      <c r="E9" s="11">
        <v>0.54</v>
      </c>
      <c r="F9" s="17">
        <f>B9*Setup!$B$6/Setup!$B$5</f>
        <v>108</v>
      </c>
      <c r="G9" s="18">
        <f>F9/D9*E9</f>
        <v>1.62</v>
      </c>
    </row>
    <row r="10" spans="1:7" ht="30.95" customHeight="1">
      <c r="A10" s="15" t="s">
        <v>31</v>
      </c>
      <c r="B10" s="16">
        <v>40</v>
      </c>
      <c r="C10" s="16">
        <v>10</v>
      </c>
      <c r="D10" s="16">
        <v>100</v>
      </c>
      <c r="E10" s="11">
        <v>3.5</v>
      </c>
      <c r="F10" s="17">
        <f>B10*Setup!$B$6/Setup!$B$5</f>
        <v>120</v>
      </c>
      <c r="G10" s="18">
        <f>F10/D10*E10</f>
        <v>4.2</v>
      </c>
    </row>
    <row r="11" spans="1:7" ht="30.95" customHeight="1">
      <c r="A11" s="15" t="s">
        <v>32</v>
      </c>
      <c r="B11" s="16">
        <v>1</v>
      </c>
      <c r="C11" s="16">
        <v>2</v>
      </c>
      <c r="D11" s="16">
        <v>50</v>
      </c>
      <c r="E11" s="11">
        <v>2.5</v>
      </c>
      <c r="F11" s="17">
        <f>B11*Setup!$B$6/Setup!$B$5</f>
        <v>3</v>
      </c>
      <c r="G11" s="18">
        <f>F11/D11*E11</f>
        <v>0.15</v>
      </c>
    </row>
    <row r="12" spans="1:7" ht="23.1" customHeight="1">
      <c r="A12" s="1"/>
      <c r="B12" s="1"/>
      <c r="C12" s="1"/>
      <c r="D12" s="1"/>
      <c r="E12" s="1"/>
      <c r="F12" s="1"/>
      <c r="G12" s="1"/>
    </row>
    <row r="13" spans="1:7" ht="23.1" customHeight="1">
      <c r="A13" s="12" t="s">
        <v>33</v>
      </c>
      <c r="B13" s="1"/>
      <c r="C13" s="1"/>
      <c r="D13" s="1"/>
      <c r="E13" s="1"/>
      <c r="F13" s="1"/>
      <c r="G13" s="1"/>
    </row>
    <row r="14" spans="1:7" ht="23.1" customHeight="1">
      <c r="A14" s="12" t="s">
        <v>34</v>
      </c>
      <c r="B14" s="1"/>
      <c r="C14" s="1"/>
      <c r="D14" s="1"/>
      <c r="E14" s="1"/>
      <c r="F14" s="1"/>
      <c r="G14" s="1"/>
    </row>
    <row r="15" spans="1:7" ht="23.1" customHeight="1">
      <c r="A15" s="1"/>
      <c r="B15" s="1"/>
      <c r="C15" s="1"/>
      <c r="D15" s="1"/>
      <c r="E15" s="1"/>
      <c r="F15" s="1"/>
      <c r="G15" s="1"/>
    </row>
  </sheetData>
  <dataValidations count="3">
    <dataValidation type="decimal" operator="greaterThanOrEqual" showErrorMessage="1" errorTitle="Check this input" error="Enter zero or a positive quantity in grams." sqref="B7:C11" xr:uid="{00000000-0002-0000-0100-000000000000}">
      <formula1>0</formula1>
    </dataValidation>
    <dataValidation type="decimal" operator="greaterThan" showErrorMessage="1" errorTitle="Check this input" error="Enter a package size greater than zero." sqref="D7:D11" xr:uid="{00000000-0002-0000-0100-000001000000}">
      <formula1>0</formula1>
    </dataValidation>
    <dataValidation type="decimal" operator="greaterThanOrEqual" showErrorMessage="1" errorTitle="Check this input" error="Enter a package price of zero or more." sqref="E7:E11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5" width="17" customWidth="1"/>
    <col min="6" max="8" width="16" customWidth="1"/>
    <col min="9" max="10" width="20" customWidth="1"/>
  </cols>
  <sheetData>
    <row r="1" spans="1:10" ht="23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2" t="s">
        <v>35</v>
      </c>
      <c r="B2" s="3"/>
      <c r="C2" s="3"/>
      <c r="D2" s="3"/>
      <c r="E2" s="3"/>
      <c r="F2" s="3"/>
      <c r="G2" s="3"/>
      <c r="H2" s="3"/>
      <c r="I2" s="3"/>
      <c r="J2" s="3"/>
    </row>
    <row r="3" spans="1:10" ht="23.1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.1" customHeight="1">
      <c r="A4" s="1" t="s">
        <v>6</v>
      </c>
      <c r="B4" s="1">
        <f>Setup!B6</f>
        <v>6</v>
      </c>
      <c r="C4" s="1"/>
      <c r="D4" s="1" t="s">
        <v>8</v>
      </c>
      <c r="E4" s="1"/>
      <c r="F4" s="8">
        <f>Setup!B7</f>
        <v>20</v>
      </c>
      <c r="G4" s="1"/>
      <c r="H4" s="1"/>
      <c r="I4" s="1"/>
      <c r="J4" s="1"/>
    </row>
    <row r="5" spans="1:10" ht="23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54.95" customHeight="1">
      <c r="A6" s="4" t="s">
        <v>21</v>
      </c>
      <c r="B6" s="5" t="s">
        <v>26</v>
      </c>
      <c r="C6" s="5" t="s">
        <v>23</v>
      </c>
      <c r="D6" s="5" t="s">
        <v>36</v>
      </c>
      <c r="E6" s="5" t="s">
        <v>24</v>
      </c>
      <c r="F6" s="5" t="s">
        <v>25</v>
      </c>
      <c r="G6" s="5" t="s">
        <v>37</v>
      </c>
      <c r="H6" s="5" t="s">
        <v>38</v>
      </c>
      <c r="I6" s="5" t="s">
        <v>39</v>
      </c>
      <c r="J6" s="6" t="s">
        <v>27</v>
      </c>
    </row>
    <row r="7" spans="1:10" ht="30.95" customHeight="1">
      <c r="A7" s="1" t="str">
        <f>Ingredients!A7</f>
        <v>Spaghetti (dry)</v>
      </c>
      <c r="B7" s="14">
        <f>Ingredients!F7</f>
        <v>600</v>
      </c>
      <c r="C7" s="14">
        <f>Ingredients!C7</f>
        <v>100</v>
      </c>
      <c r="D7" s="14">
        <f>MAX(0,B7-C7)</f>
        <v>500</v>
      </c>
      <c r="E7" s="14">
        <f>Ingredients!D7</f>
        <v>500</v>
      </c>
      <c r="F7" s="8">
        <f>Ingredients!E7</f>
        <v>2.5</v>
      </c>
      <c r="G7" s="7">
        <f>ROUNDUP(D7/E7,0)</f>
        <v>1</v>
      </c>
      <c r="H7" s="8">
        <f>G7*F7</f>
        <v>2.5</v>
      </c>
      <c r="I7" s="14">
        <f>C7+G7*E7-B7</f>
        <v>0</v>
      </c>
      <c r="J7" s="8">
        <f>Ingredients!G7</f>
        <v>3</v>
      </c>
    </row>
    <row r="8" spans="1:10" ht="30.95" customHeight="1">
      <c r="A8" s="1" t="str">
        <f>Ingredients!A8</f>
        <v>Guanciale</v>
      </c>
      <c r="B8" s="14">
        <f>Ingredients!F8</f>
        <v>240</v>
      </c>
      <c r="C8" s="14">
        <f>Ingredients!C8</f>
        <v>20</v>
      </c>
      <c r="D8" s="14">
        <f>MAX(0,B8-C8)</f>
        <v>220</v>
      </c>
      <c r="E8" s="14">
        <f>Ingredients!D8</f>
        <v>100</v>
      </c>
      <c r="F8" s="8">
        <f>Ingredients!E8</f>
        <v>4</v>
      </c>
      <c r="G8" s="7">
        <f>ROUNDUP(D8/E8,0)</f>
        <v>3</v>
      </c>
      <c r="H8" s="8">
        <f>G8*F8</f>
        <v>12</v>
      </c>
      <c r="I8" s="14">
        <f>C8+G8*E8-B8</f>
        <v>80</v>
      </c>
      <c r="J8" s="8">
        <f>Ingredients!G8</f>
        <v>9.6</v>
      </c>
    </row>
    <row r="9" spans="1:10" ht="30.95" customHeight="1">
      <c r="A9" s="1" t="str">
        <f>Ingredients!A9</f>
        <v>Egg yolks</v>
      </c>
      <c r="B9" s="14">
        <f>Ingredients!F9</f>
        <v>108</v>
      </c>
      <c r="C9" s="14">
        <f>Ingredients!C9</f>
        <v>0</v>
      </c>
      <c r="D9" s="14">
        <f>MAX(0,B9-C9)</f>
        <v>108</v>
      </c>
      <c r="E9" s="14">
        <f>Ingredients!D9</f>
        <v>36</v>
      </c>
      <c r="F9" s="8">
        <f>Ingredients!E9</f>
        <v>0.54</v>
      </c>
      <c r="G9" s="7">
        <f>ROUNDUP(D9/E9,0)</f>
        <v>3</v>
      </c>
      <c r="H9" s="8">
        <f>G9*F9</f>
        <v>1.62</v>
      </c>
      <c r="I9" s="14">
        <f>C9+G9*E9-B9</f>
        <v>0</v>
      </c>
      <c r="J9" s="8">
        <f>Ingredients!G9</f>
        <v>1.62</v>
      </c>
    </row>
    <row r="10" spans="1:10" ht="30.95" customHeight="1">
      <c r="A10" s="1" t="str">
        <f>Ingredients!A10</f>
        <v>Pecorino Romano</v>
      </c>
      <c r="B10" s="14">
        <f>Ingredients!F10</f>
        <v>120</v>
      </c>
      <c r="C10" s="14">
        <f>Ingredients!C10</f>
        <v>10</v>
      </c>
      <c r="D10" s="14">
        <f>MAX(0,B10-C10)</f>
        <v>110</v>
      </c>
      <c r="E10" s="14">
        <f>Ingredients!D10</f>
        <v>100</v>
      </c>
      <c r="F10" s="8">
        <f>Ingredients!E10</f>
        <v>3.5</v>
      </c>
      <c r="G10" s="7">
        <f>ROUNDUP(D10/E10,0)</f>
        <v>2</v>
      </c>
      <c r="H10" s="8">
        <f>G10*F10</f>
        <v>7</v>
      </c>
      <c r="I10" s="14">
        <f>C10+G10*E10-B10</f>
        <v>90</v>
      </c>
      <c r="J10" s="8">
        <f>Ingredients!G10</f>
        <v>4.2</v>
      </c>
    </row>
    <row r="11" spans="1:10" ht="30.95" customHeight="1">
      <c r="A11" s="1" t="str">
        <f>Ingredients!A11</f>
        <v>Black pepper</v>
      </c>
      <c r="B11" s="14">
        <f>Ingredients!F11</f>
        <v>3</v>
      </c>
      <c r="C11" s="14">
        <f>Ingredients!C11</f>
        <v>2</v>
      </c>
      <c r="D11" s="14">
        <f>MAX(0,B11-C11)</f>
        <v>1</v>
      </c>
      <c r="E11" s="14">
        <f>Ingredients!D11</f>
        <v>50</v>
      </c>
      <c r="F11" s="8">
        <f>Ingredients!E11</f>
        <v>2.5</v>
      </c>
      <c r="G11" s="7">
        <f>ROUNDUP(D11/E11,0)</f>
        <v>1</v>
      </c>
      <c r="H11" s="8">
        <f>G11*F11</f>
        <v>2.5</v>
      </c>
      <c r="I11" s="14">
        <f>C11+G11*E11-B11</f>
        <v>49</v>
      </c>
      <c r="J11" s="8">
        <f>Ingredients!G11</f>
        <v>0.15</v>
      </c>
    </row>
    <row r="12" spans="1:10" ht="23.1" customHeight="1">
      <c r="A12" s="1"/>
      <c r="B12" s="1"/>
      <c r="C12" s="1"/>
      <c r="D12" s="1"/>
      <c r="E12" s="1"/>
      <c r="F12" s="1"/>
      <c r="G12" s="1"/>
      <c r="H12" s="8"/>
      <c r="I12" s="1"/>
      <c r="J12" s="8"/>
    </row>
    <row r="13" spans="1:10" ht="29.1" customHeight="1">
      <c r="A13" s="20" t="s">
        <v>40</v>
      </c>
      <c r="B13" s="20"/>
      <c r="C13" s="20"/>
      <c r="D13" s="20"/>
      <c r="E13" s="20"/>
      <c r="F13" s="20"/>
      <c r="G13" s="20"/>
      <c r="H13" s="21">
        <f>SUM(H7:H11)</f>
        <v>25.62</v>
      </c>
      <c r="I13" s="20"/>
      <c r="J13" s="21">
        <f>SUM(J7:J11)</f>
        <v>18.569999999999997</v>
      </c>
    </row>
    <row r="14" spans="1:10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3.1" customHeight="1">
      <c r="A15" s="12" t="s">
        <v>41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3.1" customHeight="1">
      <c r="A16" s="12" t="s">
        <v>42</v>
      </c>
      <c r="B16" s="1"/>
      <c r="C16" s="1"/>
      <c r="D16" s="1"/>
      <c r="E16" s="1"/>
      <c r="F16" s="1"/>
      <c r="G16" s="1"/>
      <c r="H16" s="1"/>
      <c r="I16" s="1"/>
      <c r="J16" s="1"/>
    </row>
  </sheetData>
  <conditionalFormatting sqref="A7:J11">
    <cfRule type="expression" dxfId="4" priority="1">
      <formula>$G7&gt;0</formula>
    </cfRule>
  </conditionalFormatting>
  <conditionalFormatting sqref="H13">
    <cfRule type="cellIs" dxfId="3" priority="2" operator="greaterThan">
      <formula>$F$4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3F53"/>
    <pageSetUpPr fitToPage="1"/>
  </sheetPr>
  <dimension ref="A1:M35"/>
  <sheetViews>
    <sheetView showGridLines="0" tabSelected="1" workbookViewId="0"/>
  </sheetViews>
  <sheetFormatPr defaultRowHeight="14.25"/>
  <cols>
    <col min="1" max="1" width="33" customWidth="1"/>
    <col min="2" max="2" width="24" customWidth="1"/>
    <col min="3" max="3" width="3" customWidth="1"/>
    <col min="4" max="13" width="10" customWidth="1"/>
  </cols>
  <sheetData>
    <row r="1" spans="1:13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.1" customHeight="1">
      <c r="A2" s="2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9.1" customHeight="1">
      <c r="A4" s="4" t="s">
        <v>44</v>
      </c>
      <c r="B4" s="6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0.95" customHeight="1">
      <c r="A5" s="1" t="s">
        <v>6</v>
      </c>
      <c r="B5" s="22">
        <f>Setup!B6</f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0.95" customHeight="1">
      <c r="A6" s="1" t="s">
        <v>27</v>
      </c>
      <c r="B6" s="23">
        <f>ShoppingList!J13</f>
        <v>18.569999999999997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0.95" customHeight="1">
      <c r="A7" s="1" t="s">
        <v>45</v>
      </c>
      <c r="B7" s="23">
        <f>B6/B5</f>
        <v>3.0949999999999993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0.95" customHeight="1">
      <c r="A8" s="13" t="s">
        <v>46</v>
      </c>
      <c r="B8" s="24">
        <f>ShoppingList!H13</f>
        <v>25.62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0.95" customHeight="1">
      <c r="A9" s="1" t="s">
        <v>8</v>
      </c>
      <c r="B9" s="23">
        <f>Setup!B7</f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0.95" customHeight="1">
      <c r="A10" s="19" t="s">
        <v>47</v>
      </c>
      <c r="B10" s="25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0.95" customHeight="1">
      <c r="A11" s="19" t="s">
        <v>48</v>
      </c>
      <c r="B11" s="26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3.1" customHeight="1">
      <c r="A14" s="13" t="s">
        <v>49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3.1" customHeight="1">
      <c r="A15" s="12" t="s">
        <v>50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3.1" customHeight="1">
      <c r="A16" s="12" t="s">
        <v>51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3.1" customHeight="1">
      <c r="A20" s="13" t="s">
        <v>52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3.1" customHeight="1">
      <c r="A21" s="12" t="s">
        <v>53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3.1" customHeight="1">
      <c r="A24" s="13" t="s">
        <v>54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3.1" customHeight="1">
      <c r="A25" s="12" t="s">
        <v>55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conditionalFormatting sqref="B8">
    <cfRule type="cellIs" dxfId="2" priority="1" operator="greaterThan">
      <formula>$B$9</formula>
    </cfRule>
  </conditionalFormatting>
  <conditionalFormatting sqref="B10">
    <cfRule type="cellIs" dxfId="1" priority="2" operator="lessThan">
      <formula>0</formula>
    </cfRule>
  </conditionalFormatting>
  <conditionalFormatting sqref="B11">
    <cfRule type="expression" dxfId="0" priority="3">
      <formula>$B$8&gt;$B$9</formula>
    </cfRule>
  </conditionalFormatting>
  <pageMargins left="0.7" right="0.7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Setup</vt:lpstr>
      <vt:lpstr>Ingredients</vt:lpstr>
      <vt:lpstr>ShoppingList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2026-10-03T08:15:42Z</cp:lastPrinted>
  <dcterms:modified xsi:type="dcterms:W3CDTF">2026-10-03T08:15:42Z</dcterms:modified>
</cp:coreProperties>
</file>