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068c71e60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5fd1ea4844ec4af8"/>
    <x:sheet xmlns:r="http://schemas.openxmlformats.org/officeDocument/2006/relationships" name="Ingredients" sheetId="2" r:id="R91d968c1dcc643fa"/>
    <x:sheet xmlns:r="http://schemas.openxmlformats.org/officeDocument/2006/relationships" name="ShoppingList" sheetId="3" r:id="R26d0eaf697644017"/>
    <x:sheet xmlns:r="http://schemas.openxmlformats.org/officeDocument/2006/relationships" name="Dashboard" sheetId="4" r:id="R8875562f7d944d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$&quot;#,##0.00"/>
    <x:numFmt numFmtId="202" formatCode="0.00"/>
  </x:numFmts>
  <x:fonts count="6">
    <x:font>
      <x:sz val="11"/>
      <x:name val="Carlito"/>
    </x:font>
    <x:font>
      <x:sz val="11"/>
      <x:color rgb="FF253044"/>
      <x:name val="Arial"/>
    </x:font>
    <x:font>
      <x:b/>
      <x:sz val="16"/>
      <x:color rgb="FF263D59"/>
      <x:name val="Arial"/>
    </x:font>
    <x:font>
      <x:b/>
      <x:sz val="11"/>
      <x:color rgb="FFFFFFFF"/>
      <x:name val="Arial"/>
    </x:font>
    <x:font>
      <x:b/>
      <x:sz val="11"/>
      <x:color rgb="FF185ABD"/>
      <x:name val="Arial"/>
    </x:font>
    <x:font>
      <x:b/>
      <x:sz val="11"/>
      <x:color rgb="FF25304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D59"/>
      </x:patternFill>
    </x:fill>
    <x:fill>
      <x:patternFill patternType="solid">
        <x:fgColor rgb="FFFFF2CC"/>
      </x:patternFill>
    </x:fill>
    <x:fill>
      <x:patternFill patternType="solid">
        <x:fgColor rgb="FFE8EDF3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1" fillId="0" borderId="0" xfId="0" applyNumberFormat="1" applyFont="1" applyFill="1" applyBorder="1"/>
    <x:xf numFmtId="200" fontId="4" fillId="3" borderId="0" xfId="0" applyNumberFormat="1" applyFont="1" applyFill="1" applyBorder="1"/>
    <x:xf numFmtId="201" fontId="4" fillId="3" borderId="0" xfId="0" applyNumberFormat="1" applyFont="1" applyFill="1" applyBorder="1"/>
    <x:xf numFmtId="202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4" borderId="0" xfId="0" applyNumberFormat="1" applyFont="1" applyFill="1" applyBorder="1"/>
    <x:xf numFmtId="201" fontId="5" fillId="4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3b9ed5dc4545ec" /><Relationship Type="http://schemas.openxmlformats.org/officeDocument/2006/relationships/theme" Target="/xl/theme/theme1.xml" Id="Rfd4fb45c4d9144a7" /><Relationship Type="http://schemas.openxmlformats.org/officeDocument/2006/relationships/sharedStrings" Target="/xl/sharedStrings.xml" Id="R95326dbfe93a4be5" /><Relationship Type="http://schemas.openxmlformats.org/officeDocument/2006/relationships/worksheet" Target="/xl/worksheets/sheet1.xml" Id="R5fd1ea4844ec4af8" /><Relationship Type="http://schemas.openxmlformats.org/officeDocument/2006/relationships/worksheet" Target="/xl/worksheets/sheet2.xml" Id="R91d968c1dcc643fa" /><Relationship Type="http://schemas.openxmlformats.org/officeDocument/2006/relationships/worksheet" Target="/xl/worksheets/sheet3.xml" Id="R26d0eaf697644017" /><Relationship Type="http://schemas.openxmlformats.org/officeDocument/2006/relationships/worksheet" Target="/xl/worksheets/sheet4.xml" Id="R8875562f7d944d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c5565b82e94781" /><Relationship Type="http://schemas.openxmlformats.org/officeDocument/2006/relationships/chart" Target="/xl/drawings/charts/chart2.xml" Id="R8539345d96b64f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507EA3"/>
            </a:solidFill>
          </c:spPr>
          <c:cat>
            <c:strRef>
              <c:f>'Dashboard'!$A$16:$A$20</c:f>
              <c:strCache>
                <c:ptCount val="0"/>
              </c:strCache>
            </c:strRef>
          </c:cat>
          <c:val>
            <c:numRef>
              <c:f>'Dashboard'!$B$16:$B$20</c:f>
              <c:numCache>
                <c:formatCode>"$"#,##0.00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 cost (USD)</c:v>
          </c:tx>
          <c:cat>
            <c:strRef>
              <c:f>'Dashboard'!$A$16:$A$20</c:f>
              <c:strCache>
                <c:ptCount val="0"/>
              </c:strCache>
            </c:strRef>
          </c:cat>
          <c:val>
            <c:numRef>
              <c:f>'Dashboard'!$C$16:$C$20</c:f>
              <c:numCache>
                <c:formatCode>"$"#,##0.00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c5565b82e94781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13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39345d96b64f6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sTable" displayName="IngredientsTable" ref="A4:G9" headerRowCount="1" totalsRowCount="0" totalsRowShown="0">
  <x:autoFilter ref="A4:G9"/>
  <x:tableColumns count="7">
    <x:tableColumn id="1" name="Ingredient"/>
    <x:tableColumn id="2" name="Base quantity for 2 servings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c8b4c90fb446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226b273ed683482f" /></Relationships>
</file>

<file path=xl/worksheets/sheet1.xml><?xml version="1.0" encoding="utf-8"?>
<x:worksheet xmlns:x="http://schemas.openxmlformats.org/spreadsheetml/2006/main">
  <x:sheetPr>
    <x:tabColor rgb="FFD9A441"/>
  </x:sheetPr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2" t="str">
        <x:v>Carbonara meal setup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8" customHeight="1">
      <x:c r="A4" s="7" t="str">
        <x:v>Setting</x:v>
      </x:c>
      <x:c r="B4" s="7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Base recipe servings</x:v>
      </x:c>
      <x:c r="B5" s="10" t="n">
        <x:v>2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Desired servings</x:v>
      </x:c>
      <x:c r="B6" s="11" t="n">
        <x:v>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Shopping budget (USD)</x:v>
      </x:c>
      <x:c r="B7" s="12" t="n">
        <x:v>20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 t="str">
        <x:v>Yellow cells are editable inputs.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dataValidations count="2">
    <x:dataValidation type="whole" errorStyle="stop" operator="between" showErrorMessage="1" errorTitle="Invalid servings" error="Enter a whole number from 1 through 20." sqref="B6">
      <x:formula1>1</x:formula1>
      <x:formula2>20</x:formula2>
    </x:dataValidation>
    <x:dataValidation type="decimal" errorStyle="stop" operator="greaterThanOrEqual" showErrorMessage="1" errorTitle="Invalid budget" error="Enter a nonnegative number.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2" t="str">
        <x:v>Recipe ingredients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8" customHeight="1">
      <x:c r="A4" s="7" t="str">
        <x:v>Ingredient</x:v>
      </x:c>
      <x:c r="B4" s="7" t="str">
        <x:v>Base quantity for 2 servings (g)</x:v>
      </x:c>
      <x:c r="C4" s="7" t="str">
        <x:v>Stock available (g)</x:v>
      </x:c>
      <x:c r="D4" s="7" t="str">
        <x:v>Package size (g)</x:v>
      </x:c>
      <x:c r="E4" s="7" t="str">
        <x:v>Package price (USD)</x:v>
      </x:c>
      <x:c r="F4" s="7" t="str">
        <x:v>Required quantity (g)</x:v>
      </x:c>
      <x:c r="G4" s="7" t="str">
        <x:v>Used-ingredient cost (USD)</x:v>
      </x:c>
      <x:c r="H4" s="1"/>
      <x:c r="I4" s="1"/>
      <x:c r="J4" s="1"/>
      <x:c r="K4" s="1"/>
      <x:c r="L4" s="1"/>
    </x:row>
    <x:row r="5" ht="23" customHeight="1">
      <x:c r="A5" s="1" t="str">
        <x:v>Spaghetti (dry)</x:v>
      </x:c>
      <x:c r="B5" s="13" t="n">
        <x:v>200</x:v>
      </x:c>
      <x:c r="C5" s="13" t="n">
        <x:v>100</x:v>
      </x:c>
      <x:c r="D5" s="13" t="n">
        <x:v>500</x:v>
      </x:c>
      <x:c r="E5" s="15" t="n">
        <x:v>2.5</x:v>
      </x:c>
      <x:c r="F5" s="14" t="n">
        <x:f>B5*Setup!$B$6/Setup!$B$5</x:f>
        <x:v>600</x:v>
      </x:c>
      <x:c r="G5" s="16" t="n">
        <x:f>F5/D5*E5</x:f>
        <x:v>3</x:v>
      </x:c>
      <x:c r="H5" s="1"/>
      <x:c r="I5" s="1"/>
      <x:c r="J5" s="1"/>
      <x:c r="K5" s="1"/>
      <x:c r="L5" s="1"/>
    </x:row>
    <x:row r="6" ht="23" customHeight="1">
      <x:c r="A6" s="1" t="str">
        <x:v>Guanciale</x:v>
      </x:c>
      <x:c r="B6" s="13" t="n">
        <x:v>80</x:v>
      </x:c>
      <x:c r="C6" s="13" t="n">
        <x:v>20</x:v>
      </x:c>
      <x:c r="D6" s="13" t="n">
        <x:v>100</x:v>
      </x:c>
      <x:c r="E6" s="15" t="n">
        <x:v>4</x:v>
      </x:c>
      <x:c r="F6" s="14" t="n">
        <x:f>B6*Setup!$B$6/Setup!$B$5</x:f>
        <x:v>240</x:v>
      </x:c>
      <x:c r="G6" s="16" t="n">
        <x:f>F6/D6*E6</x:f>
        <x:v>9.6</x:v>
      </x:c>
      <x:c r="H6" s="1"/>
      <x:c r="I6" s="1"/>
      <x:c r="J6" s="1"/>
      <x:c r="K6" s="1"/>
      <x:c r="L6" s="1"/>
    </x:row>
    <x:row r="7" ht="23" customHeight="1">
      <x:c r="A7" s="1" t="str">
        <x:v>Egg yolks</x:v>
      </x:c>
      <x:c r="B7" s="13" t="n">
        <x:v>36</x:v>
      </x:c>
      <x:c r="C7" s="13" t="n">
        <x:v>0</x:v>
      </x:c>
      <x:c r="D7" s="13" t="n">
        <x:v>36</x:v>
      </x:c>
      <x:c r="E7" s="15" t="n">
        <x:v>0.54</x:v>
      </x:c>
      <x:c r="F7" s="14" t="n">
        <x:f>B7*Setup!$B$6/Setup!$B$5</x:f>
        <x:v>108</x:v>
      </x:c>
      <x:c r="G7" s="16" t="n">
        <x:f>F7/D7*E7</x:f>
        <x:v>1.62</x:v>
      </x:c>
      <x:c r="H7" s="1"/>
      <x:c r="I7" s="1"/>
      <x:c r="J7" s="1"/>
      <x:c r="K7" s="1"/>
      <x:c r="L7" s="1"/>
    </x:row>
    <x:row r="8" ht="23" customHeight="1">
      <x:c r="A8" s="1" t="str">
        <x:v>Pecorino Romano</x:v>
      </x:c>
      <x:c r="B8" s="13" t="n">
        <x:v>40</x:v>
      </x:c>
      <x:c r="C8" s="13" t="n">
        <x:v>10</x:v>
      </x:c>
      <x:c r="D8" s="13" t="n">
        <x:v>100</x:v>
      </x:c>
      <x:c r="E8" s="15" t="n">
        <x:v>3.5</x:v>
      </x:c>
      <x:c r="F8" s="14" t="n">
        <x:f>B8*Setup!$B$6/Setup!$B$5</x:f>
        <x:v>120</x:v>
      </x:c>
      <x:c r="G8" s="16" t="n">
        <x:f>F8/D8*E8</x:f>
        <x:v>4.2</x:v>
      </x:c>
      <x:c r="H8" s="1"/>
      <x:c r="I8" s="1"/>
      <x:c r="J8" s="1"/>
      <x:c r="K8" s="1"/>
      <x:c r="L8" s="1"/>
    </x:row>
    <x:row r="9" ht="23" customHeight="1">
      <x:c r="A9" s="1" t="str">
        <x:v>Black pepper</x:v>
      </x:c>
      <x:c r="B9" s="13" t="n">
        <x:v>1</x:v>
      </x:c>
      <x:c r="C9" s="13" t="n">
        <x:v>2</x:v>
      </x:c>
      <x:c r="D9" s="13" t="n">
        <x:v>50</x:v>
      </x:c>
      <x:c r="E9" s="15" t="n">
        <x:v>2.5</x:v>
      </x:c>
      <x:c r="F9" s="14" t="n">
        <x:f>B9*Setup!$B$6/Setup!$B$5</x:f>
        <x:v>3</x:v>
      </x:c>
      <x:c r="G9" s="16" t="n">
        <x:f>F9/D9*E9</x:f>
        <x:v>0.15</x:v>
      </x:c>
      <x:c r="H9" s="1"/>
      <x:c r="I9" s="1"/>
      <x:c r="J9" s="1"/>
      <x:c r="K9" s="1"/>
      <x:c r="L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 t="str">
        <x:v>Source: fixed illustrative data supplied by the user.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 t="str">
        <x:v>All quantities are grams. Egg yolks exclude shells and whites.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pageMargins left="0.7" right="0.7" top="0.75" bottom="0.75" header="0.3" footer="0.3"/>
  <x:tableParts count="1">
    <x:tablePart xmlns:r="http://schemas.openxmlformats.org/officeDocument/2006/relationships" r:id="R45c8b4c90fb446f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2" t="str">
        <x:v>Shopping list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8" customHeight="1">
      <x:c r="A4" s="7" t="str">
        <x:v>Ingredient</x:v>
      </x:c>
      <x:c r="B4" s="7" t="str">
        <x:v>Required (g)</x:v>
      </x:c>
      <x:c r="C4" s="7" t="str">
        <x:v>Stock (g)</x:v>
      </x:c>
      <x:c r="D4" s="7" t="str">
        <x:v>Additional needed (g)</x:v>
      </x:c>
      <x:c r="E4" s="7" t="str">
        <x:v>Package size (g)</x:v>
      </x:c>
      <x:c r="F4" s="7" t="str">
        <x:v>Packages to buy</x:v>
      </x:c>
      <x:c r="G4" s="7" t="str">
        <x:v>Purchase cost (USD)</x:v>
      </x:c>
      <x:c r="H4" s="7" t="str">
        <x:v>Stock after cooking (g)</x:v>
      </x:c>
      <x:c r="I4" s="7" t="str">
        <x:v>Used-ingredient cost (USD)</x:v>
      </x:c>
      <x:c r="J4" s="1"/>
      <x:c r="K4" s="1"/>
      <x:c r="L4" s="1"/>
    </x:row>
    <x:row r="5" ht="23" customHeight="1">
      <x:c r="A5" s="1" t="str">
        <x:f>Ingredients!A5</x:f>
        <x:v>Spaghetti (dry)</x:v>
      </x:c>
      <x:c r="B5" s="14" t="n">
        <x:f>Ingredients!F5</x:f>
        <x:v>600</x:v>
      </x:c>
      <x:c r="C5" s="14" t="n">
        <x:f>Ingredients!C5</x:f>
        <x:v>100</x:v>
      </x:c>
      <x:c r="D5" s="14" t="n">
        <x:f>MAX(0,B5-C5)</x:f>
        <x:v>500</x:v>
      </x:c>
      <x:c r="E5" s="14" t="n">
        <x:f>Ingredients!D5</x:f>
        <x:v>500</x:v>
      </x:c>
      <x:c r="F5" s="10" t="n">
        <x:f>ROUNDUP(D5/E5,0)</x:f>
        <x:v>1</x:v>
      </x:c>
      <x:c r="G5" s="16" t="n">
        <x:f>F5*Ingredients!E5</x:f>
        <x:v>2.5</x:v>
      </x:c>
      <x:c r="H5" s="14" t="n">
        <x:f>C5+F5*E5-B5</x:f>
        <x:v>0</x:v>
      </x:c>
      <x:c r="I5" s="16" t="n">
        <x:f>Ingredients!G5</x:f>
        <x:v>3</x:v>
      </x:c>
      <x:c r="J5" s="1"/>
      <x:c r="K5" s="1"/>
      <x:c r="L5" s="1"/>
    </x:row>
    <x:row r="6" ht="23" customHeight="1">
      <x:c r="A6" s="1" t="str">
        <x:f>Ingredients!A6</x:f>
        <x:v>Guanciale</x:v>
      </x:c>
      <x:c r="B6" s="14" t="n">
        <x:f>Ingredients!F6</x:f>
        <x:v>240</x:v>
      </x:c>
      <x:c r="C6" s="14" t="n">
        <x:f>Ingredients!C6</x:f>
        <x:v>20</x:v>
      </x:c>
      <x:c r="D6" s="14" t="n">
        <x:f>MAX(0,B6-C6)</x:f>
        <x:v>220</x:v>
      </x:c>
      <x:c r="E6" s="14" t="n">
        <x:f>Ingredients!D6</x:f>
        <x:v>100</x:v>
      </x:c>
      <x:c r="F6" s="10" t="n">
        <x:f>ROUNDUP(D6/E6,0)</x:f>
        <x:v>3</x:v>
      </x:c>
      <x:c r="G6" s="16" t="n">
        <x:f>F6*Ingredients!E6</x:f>
        <x:v>12</x:v>
      </x:c>
      <x:c r="H6" s="14" t="n">
        <x:f>C6+F6*E6-B6</x:f>
        <x:v>80</x:v>
      </x:c>
      <x:c r="I6" s="16" t="n">
        <x:f>Ingredients!G6</x:f>
        <x:v>9.6</x:v>
      </x:c>
      <x:c r="J6" s="1"/>
      <x:c r="K6" s="1"/>
      <x:c r="L6" s="1"/>
    </x:row>
    <x:row r="7" ht="23" customHeight="1">
      <x:c r="A7" s="1" t="str">
        <x:f>Ingredients!A7</x:f>
        <x:v>Egg yolks</x:v>
      </x:c>
      <x:c r="B7" s="14" t="n">
        <x:f>Ingredients!F7</x:f>
        <x:v>108</x:v>
      </x:c>
      <x:c r="C7" s="14" t="n">
        <x:f>Ingredients!C7</x:f>
        <x:v>0</x:v>
      </x:c>
      <x:c r="D7" s="14" t="n">
        <x:f>MAX(0,B7-C7)</x:f>
        <x:v>108</x:v>
      </x:c>
      <x:c r="E7" s="14" t="n">
        <x:f>Ingredients!D7</x:f>
        <x:v>36</x:v>
      </x:c>
      <x:c r="F7" s="10" t="n">
        <x:f>ROUNDUP(D7/E7,0)</x:f>
        <x:v>3</x:v>
      </x:c>
      <x:c r="G7" s="16" t="n">
        <x:f>F7*Ingredients!E7</x:f>
        <x:v>1.62</x:v>
      </x:c>
      <x:c r="H7" s="14" t="n">
        <x:f>C7+F7*E7-B7</x:f>
        <x:v>0</x:v>
      </x:c>
      <x:c r="I7" s="16" t="n">
        <x:f>Ingredients!G7</x:f>
        <x:v>1.62</x:v>
      </x:c>
      <x:c r="J7" s="1"/>
      <x:c r="K7" s="1"/>
      <x:c r="L7" s="1"/>
    </x:row>
    <x:row r="8" ht="23" customHeight="1">
      <x:c r="A8" s="1" t="str">
        <x:f>Ingredients!A8</x:f>
        <x:v>Pecorino Romano</x:v>
      </x:c>
      <x:c r="B8" s="14" t="n">
        <x:f>Ingredients!F8</x:f>
        <x:v>120</x:v>
      </x:c>
      <x:c r="C8" s="14" t="n">
        <x:f>Ingredients!C8</x:f>
        <x:v>10</x:v>
      </x:c>
      <x:c r="D8" s="14" t="n">
        <x:f>MAX(0,B8-C8)</x:f>
        <x:v>110</x:v>
      </x:c>
      <x:c r="E8" s="14" t="n">
        <x:f>Ingredients!D8</x:f>
        <x:v>100</x:v>
      </x:c>
      <x:c r="F8" s="10" t="n">
        <x:f>ROUNDUP(D8/E8,0)</x:f>
        <x:v>2</x:v>
      </x:c>
      <x:c r="G8" s="16" t="n">
        <x:f>F8*Ingredients!E8</x:f>
        <x:v>7</x:v>
      </x:c>
      <x:c r="H8" s="14" t="n">
        <x:f>C8+F8*E8-B8</x:f>
        <x:v>90</x:v>
      </x:c>
      <x:c r="I8" s="16" t="n">
        <x:f>Ingredients!G8</x:f>
        <x:v>4.2</x:v>
      </x:c>
      <x:c r="J8" s="1"/>
      <x:c r="K8" s="1"/>
      <x:c r="L8" s="1"/>
    </x:row>
    <x:row r="9" ht="23" customHeight="1">
      <x:c r="A9" s="1" t="str">
        <x:f>Ingredients!A9</x:f>
        <x:v>Black pepper</x:v>
      </x:c>
      <x:c r="B9" s="14" t="n">
        <x:f>Ingredients!F9</x:f>
        <x:v>3</x:v>
      </x:c>
      <x:c r="C9" s="14" t="n">
        <x:f>Ingredients!C9</x:f>
        <x:v>2</x:v>
      </x:c>
      <x:c r="D9" s="14" t="n">
        <x:f>MAX(0,B9-C9)</x:f>
        <x:v>1</x:v>
      </x:c>
      <x:c r="E9" s="14" t="n">
        <x:f>Ingredients!D9</x:f>
        <x:v>50</x:v>
      </x:c>
      <x:c r="F9" s="10" t="n">
        <x:f>ROUNDUP(D9/E9,0)</x:f>
        <x:v>1</x:v>
      </x:c>
      <x:c r="G9" s="16" t="n">
        <x:f>F9*Ingredients!E9</x:f>
        <x:v>2.5</x:v>
      </x:c>
      <x:c r="H9" s="14" t="n">
        <x:f>C9+F9*E9-B9</x:f>
        <x:v>49</x:v>
      </x:c>
      <x:c r="I9" s="16" t="n">
        <x:f>Ingredients!G9</x:f>
        <x:v>0.15</x:v>
      </x:c>
      <x:c r="J9" s="1"/>
      <x:c r="K9" s="1"/>
      <x:c r="L9" s="1"/>
    </x:row>
    <x:row r="10" ht="23" customHeight="1">
      <x:c r="A10" s="1"/>
      <x:c r="B10" s="1"/>
      <x:c r="C10" s="1"/>
      <x:c r="D10" s="1"/>
      <x:c r="E10" s="1"/>
      <x:c r="F10" s="1"/>
      <x:c r="G10" s="16"/>
      <x:c r="H10" s="1"/>
      <x:c r="I10" s="16"/>
      <x:c r="J10" s="1"/>
      <x:c r="K10" s="1"/>
      <x:c r="L10" s="1"/>
    </x:row>
    <x:row r="11" ht="23" customHeight="1">
      <x:c r="A11" s="19" t="str">
        <x:v>Totals</x:v>
      </x:c>
      <x:c r="B11" s="19"/>
      <x:c r="C11" s="19"/>
      <x:c r="D11" s="19"/>
      <x:c r="E11" s="19"/>
      <x:c r="F11" s="19"/>
      <x:c r="G11" s="20" t="n">
        <x:f>SUM(G5:G9)</x:f>
        <x:v>25.62</x:v>
      </x:c>
      <x:c r="H11" s="19"/>
      <x:c r="I11" s="20" t="n">
        <x:f>SUM(I5:I9)</x:f>
        <x:v>18.569999999999997</x:v>
      </x:c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 t="str">
        <x:v>Desired servings</x:v>
      </x:c>
      <x:c r="B14" s="1" t="n">
        <x:f>Setup!B6</x:f>
        <x:v>6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conditionalFormatting sqref="A5:I9">
    <x:cfRule type="expression" dxfId="0" priority="1">
      <x:formula>$F5&gt;0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63D59"/>
  </x:sheetPr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2" t="str">
        <x:v>Carbonara meal costs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8" customHeight="1">
      <x:c r="A4" s="7" t="str">
        <x:v>Metric</x:v>
      </x:c>
      <x:c r="B4" s="7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Desired servings</x:v>
      </x:c>
      <x:c r="B5" s="1" t="n">
        <x:f>Setup!B6</x:f>
        <x:v>6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Used-ingredient cost</x:v>
      </x:c>
      <x:c r="B6" s="16" t="n">
        <x:f>ShoppingList!I11</x:f>
        <x:v>18.569999999999997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Used cost per serving</x:v>
      </x:c>
      <x:c r="B7" s="16" t="n">
        <x:f>B6/B5</x:f>
        <x:v>3.0949999999999993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 t="str">
        <x:v>Total purchase cost</x:v>
      </x:c>
      <x:c r="B8" s="16" t="n">
        <x:f>ShoppingList!G11</x:f>
        <x:v>25.62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 t="str">
        <x:v>Budget</x:v>
      </x:c>
      <x:c r="B9" s="16" t="n">
        <x:f>Setup!B7</x:f>
        <x:v>20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 t="str">
        <x:v>Budget remaining</x:v>
      </x:c>
      <x:c r="B10" s="16" t="n">
        <x:f>B9-B8</x:f>
        <x:v>-5.620000000000001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 t="str">
        <x:v>Status</x:v>
      </x:c>
      <x:c r="B11" s="1" t="str">
        <x:f>IF(B8&lt;=B9,"Within budget","Over budget")</x:f>
        <x:v>Over budget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48" customHeight="1">
      <x:c r="A15" s="7" t="str">
        <x:v>Ingredient</x:v>
      </x:c>
      <x:c r="B15" s="7" t="str">
        <x:v>Purchase cost (USD)</x:v>
      </x:c>
      <x:c r="C15" s="7" t="str">
        <x:v>Used cost (USD)</x:v>
      </x:c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 t="str">
        <x:f>ShoppingList!A5</x:f>
        <x:v>Spaghetti (dry)</x:v>
      </x:c>
      <x:c r="B16" s="16" t="n">
        <x:f>ShoppingList!G5</x:f>
        <x:v>2.5</x:v>
      </x:c>
      <x:c r="C16" s="16" t="n">
        <x:f>ShoppingList!I5</x:f>
        <x:v>3</x:v>
      </x:c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 t="str">
        <x:f>ShoppingList!A6</x:f>
        <x:v>Guanciale</x:v>
      </x:c>
      <x:c r="B17" s="16" t="n">
        <x:f>ShoppingList!G6</x:f>
        <x:v>12</x:v>
      </x:c>
      <x:c r="C17" s="16" t="n">
        <x:f>ShoppingList!I6</x:f>
        <x:v>9.6</x:v>
      </x:c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 t="str">
        <x:f>ShoppingList!A7</x:f>
        <x:v>Egg yolks</x:v>
      </x:c>
      <x:c r="B18" s="16" t="n">
        <x:f>ShoppingList!G7</x:f>
        <x:v>1.62</x:v>
      </x:c>
      <x:c r="C18" s="16" t="n">
        <x:f>ShoppingList!I7</x:f>
        <x:v>1.62</x:v>
      </x:c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 t="str">
        <x:f>ShoppingList!A8</x:f>
        <x:v>Pecorino Romano</x:v>
      </x:c>
      <x:c r="B19" s="16" t="n">
        <x:f>ShoppingList!G8</x:f>
        <x:v>7</x:v>
      </x:c>
      <x:c r="C19" s="16" t="n">
        <x:f>ShoppingList!I8</x:f>
        <x:v>4.2</x:v>
      </x:c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 t="str">
        <x:f>ShoppingList!A9</x:f>
        <x:v>Black pepper</x:v>
      </x:c>
      <x:c r="B20" s="16" t="n">
        <x:f>ShoppingList!G9</x:f>
        <x:v>2.5</x:v>
      </x:c>
      <x:c r="C20" s="16" t="n">
        <x:f>ShoppingList!I9</x:f>
        <x:v>0.15</x:v>
      </x:c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conditionalFormatting sqref="B8:B8">
    <x:cfRule type="expression" dxfId="1" priority="1">
      <x:formula>B8&gt;B9</x:formula>
    </x:cfRule>
  </x:conditionalFormatting>
  <x:conditionalFormatting sqref="B11:B11">
    <x:cfRule type="expression" dxfId="2" priority="2">
      <x:formula>B8&gt;B9</x:formula>
    </x:cfRule>
  </x:conditionalFormatting>
  <x:pageMargins left="0.7" right="0.7" top="0.75" bottom="0.75" header="0.3" footer="0.3"/>
  <x:drawing xmlns:r="http://schemas.openxmlformats.org/officeDocument/2006/relationships" r:id="R226b273ed683482f"/>
</x:worksheet>
</file>