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ea54ac9cd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4ca39bd440fe4834"/>
    <x:sheet xmlns:r="http://schemas.openxmlformats.org/officeDocument/2006/relationships" name="Ingredients" sheetId="2" r:id="Rb43899c5470944cd"/>
    <x:sheet xmlns:r="http://schemas.openxmlformats.org/officeDocument/2006/relationships" name="ShoppingList" sheetId="3" r:id="Rb4e6a59f7f78463f"/>
    <x:sheet xmlns:r="http://schemas.openxmlformats.org/officeDocument/2006/relationships" name="Dashboard" sheetId="4" r:id="R832960a9da57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0.00"/>
  </x:numFmts>
  <x:fonts count="5">
    <x:font>
      <x:sz val="11"/>
      <x:name val="Carlito"/>
    </x:font>
    <x:font>
      <x:sz val="10"/>
      <x:name val="Arial"/>
    </x:font>
    <x:font>
      <x:b/>
      <x:sz val="16"/>
      <x:color rgb="FF263F56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F5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  <x:dxfs count="4">
    <x:dxf>
      <x:font>
        <x:color rgb="FF163F69"/>
      </x:font>
      <x:fill>
        <x:patternFill patternType="solid">
          <x:bgColor rgb="FFE8F1FA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30d6addda4765" /><Relationship Type="http://schemas.openxmlformats.org/officeDocument/2006/relationships/theme" Target="/xl/theme/theme1.xml" Id="Rcbe89552ee714c2d" /><Relationship Type="http://schemas.openxmlformats.org/officeDocument/2006/relationships/sharedStrings" Target="/xl/sharedStrings.xml" Id="Ra0428e6e149b44ec" /><Relationship Type="http://schemas.openxmlformats.org/officeDocument/2006/relationships/worksheet" Target="/xl/worksheets/sheet1.xml" Id="R4ca39bd440fe4834" /><Relationship Type="http://schemas.openxmlformats.org/officeDocument/2006/relationships/worksheet" Target="/xl/worksheets/sheet2.xml" Id="Rb43899c5470944cd" /><Relationship Type="http://schemas.openxmlformats.org/officeDocument/2006/relationships/worksheet" Target="/xl/worksheets/sheet3.xml" Id="Rb4e6a59f7f78463f" /><Relationship Type="http://schemas.openxmlformats.org/officeDocument/2006/relationships/worksheet" Target="/xl/worksheets/sheet4.xml" Id="R832960a9da5746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4016841b2a497e" /><Relationship Type="http://schemas.openxmlformats.org/officeDocument/2006/relationships/chart" Target="/xl/drawings/charts/chart2.xml" Id="R70aa2d2ff0b24e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cost by ingredient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Share of used-ingredient cost</a:t>
            </a:r>
          </a:p>
        </c:rich>
      </c:tx>
      <c:overlay val="0"/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$#,##0.00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4016841b2a497e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aa2d2ff0b24e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ca2d1d4a242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66cc8fe09b04e54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1" hidden="0" customWidth="1"/>
    <col min="2" max="2" width="18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</cols>
  <sheetData>
    <row r="1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3" customHeight="1">
      <c r="A2" s="2" t="str">
        <v>Carbonara meal setup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42" customHeight="1">
      <c r="A4" s="5" t="str">
        <v>Setting</v>
      </c>
      <c r="B4" s="5" t="str">
        <v>Value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ht="23" customHeight="1">
      <c r="A5" s="1" t="str">
        <v>Base recipe servings</v>
      </c>
      <c r="B5" s="7" t="n">
        <v>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ht="23" customHeight="1">
      <c r="A6" s="1" t="str">
        <v>Desired servings</v>
      </c>
      <c r="B6" s="8" t="n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ht="23" customHeight="1">
      <c r="A7" s="1" t="str">
        <v>Shopping budget (USD)</v>
      </c>
      <c r="B7" s="9" t="n">
        <v>20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ht="23" customHeight="1">
      <c r="A10" s="1" t="str">
        <v>Yellow cells are editable inputs.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23" customHeight="1">
      <c r="A12" s="1" t="str">
        <v>Quantities and package sizes are in grams.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3" customHeight="1">
      <c r="A13" s="1" t="str">
        <v>Egg yolks exclude shells and egg whites.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23" customHeight="1">
      <c r="A15" s="1" t="str">
        <v>Prices are illustrative data supplied for this meal.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dataValidations count="2">
    <dataValidation type="whole" operator="between" sqref="B6" showErrorMessage="1" errorStyle="stop" allowBlank="0" errorTitle="Invalid input" error="Enter a value within the permitted range.">
      <formula1>1</formula1>
      <formula2>20</formula2>
    </dataValidation>
    <dataValidation type="decimal" operator="greaterThanOrEqual" sqref="B7" showErrorMessage="1" errorStyle="stop" allowBlank="0" errorTitle="Invalid input" error="Enter a value within the permitted range.">
      <formula1>0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5" t="str">
        <x:v>Ingredient</x:v>
      </x:c>
      <x:c r="B4" s="5" t="str">
        <x:v>Base quantity (g)</x:v>
      </x:c>
      <x:c r="C4" s="5" t="str">
        <x:v>Stock available (g)</x:v>
      </x:c>
      <x:c r="D4" s="5" t="str">
        <x:v>Package size (g)</x:v>
      </x:c>
      <x:c r="E4" s="5" t="str">
        <x:v>Package price (USD)</x:v>
      </x:c>
      <x:c r="F4" s="5" t="str">
        <x:v>Required quantity (g)</x:v>
      </x:c>
      <x:c r="G4" s="5" t="str">
        <x:v>Used-ingredient cost (USD)</x:v>
      </x:c>
      <x:c r="H4" s="1"/>
      <x:c r="I4" s="1"/>
      <x:c r="J4" s="1"/>
      <x:c r="K4" s="1"/>
      <x:c r="L4" s="1"/>
    </x:row>
    <x:row r="5" ht="23" customHeight="1">
      <x:c r="A5" s="1" t="str">
        <x:v>Spaghetti (dry)</x:v>
      </x:c>
      <x:c r="B5" s="10" t="n">
        <x:v>200</x:v>
      </x:c>
      <x:c r="C5" s="10" t="n">
        <x:v>100</x:v>
      </x:c>
      <x:c r="D5" s="10" t="n">
        <x:v>500</x:v>
      </x:c>
      <x:c r="E5" s="9" t="n">
        <x:v>2.5</x:v>
      </x:c>
      <x:c r="F5" s="11" t="n">
        <x:f>B5*Setup!$B$6/Setup!$B$5</x:f>
        <x:v>600</x:v>
      </x:c>
      <x:c r="G5" s="12" t="n">
        <x:f>F5/D5*E5</x:f>
        <x:v>3</x:v>
      </x:c>
      <x:c r="H5" s="1"/>
      <x:c r="I5" s="1"/>
      <x:c r="J5" s="1"/>
      <x:c r="K5" s="1"/>
      <x:c r="L5" s="1"/>
    </x:row>
    <x:row r="6" ht="23" customHeight="1">
      <x:c r="A6" s="1" t="str">
        <x:v>Guanciale</x:v>
      </x:c>
      <x:c r="B6" s="10" t="n">
        <x:v>80</x:v>
      </x:c>
      <x:c r="C6" s="10" t="n">
        <x:v>20</x:v>
      </x:c>
      <x:c r="D6" s="10" t="n">
        <x:v>100</x:v>
      </x:c>
      <x:c r="E6" s="9" t="n">
        <x:v>4</x:v>
      </x:c>
      <x:c r="F6" s="11" t="n">
        <x:f>B6*Setup!$B$6/Setup!$B$5</x:f>
        <x:v>240</x:v>
      </x:c>
      <x:c r="G6" s="12" t="n">
        <x:f>F6/D6*E6</x:f>
        <x:v>9.6</x:v>
      </x:c>
      <x:c r="H6" s="1"/>
      <x:c r="I6" s="1"/>
      <x:c r="J6" s="1"/>
      <x:c r="K6" s="1"/>
      <x:c r="L6" s="1"/>
    </x:row>
    <x:row r="7" ht="23" customHeight="1">
      <x:c r="A7" s="1" t="str">
        <x:v>Egg yolks</x:v>
      </x:c>
      <x:c r="B7" s="10" t="n">
        <x:v>36</x:v>
      </x:c>
      <x:c r="C7" s="10" t="n">
        <x:v>0</x:v>
      </x:c>
      <x:c r="D7" s="10" t="n">
        <x:v>36</x:v>
      </x:c>
      <x:c r="E7" s="9" t="n">
        <x:v>0.54</x:v>
      </x:c>
      <x:c r="F7" s="11" t="n">
        <x:f>B7*Setup!$B$6/Setup!$B$5</x:f>
        <x:v>108</x:v>
      </x:c>
      <x:c r="G7" s="12" t="n">
        <x:f>F7/D7*E7</x:f>
        <x:v>1.62</x:v>
      </x:c>
      <x:c r="H7" s="1"/>
      <x:c r="I7" s="1"/>
      <x:c r="J7" s="1"/>
      <x:c r="K7" s="1"/>
      <x:c r="L7" s="1"/>
    </x:row>
    <x:row r="8" ht="23" customHeight="1">
      <x:c r="A8" s="1" t="str">
        <x:v>Pecorino Romano</x:v>
      </x:c>
      <x:c r="B8" s="10" t="n">
        <x:v>40</x:v>
      </x:c>
      <x:c r="C8" s="10" t="n">
        <x:v>10</x:v>
      </x:c>
      <x:c r="D8" s="10" t="n">
        <x:v>100</x:v>
      </x:c>
      <x:c r="E8" s="9" t="n">
        <x:v>3.5</x:v>
      </x:c>
      <x:c r="F8" s="11" t="n">
        <x:f>B8*Setup!$B$6/Setup!$B$5</x:f>
        <x:v>120</x:v>
      </x:c>
      <x:c r="G8" s="12" t="n">
        <x:f>F8/D8*E8</x:f>
        <x:v>4.2</x:v>
      </x:c>
      <x:c r="H8" s="1"/>
      <x:c r="I8" s="1"/>
      <x:c r="J8" s="1"/>
      <x:c r="K8" s="1"/>
      <x:c r="L8" s="1"/>
    </x:row>
    <x:row r="9" ht="23" customHeight="1">
      <x:c r="A9" s="1" t="str">
        <x:v>Black pepper</x:v>
      </x:c>
      <x:c r="B9" s="10" t="n">
        <x:v>1</x:v>
      </x:c>
      <x:c r="C9" s="10" t="n">
        <x:v>2</x:v>
      </x:c>
      <x:c r="D9" s="10" t="n">
        <x:v>50</x:v>
      </x:c>
      <x:c r="E9" s="9" t="n">
        <x:v>2.5</x:v>
      </x:c>
      <x:c r="F9" s="11" t="n">
        <x:f>B9*Setup!$B$6/Setup!$B$5</x:f>
        <x:v>3</x:v>
      </x:c>
      <x:c r="G9" s="12" t="n">
        <x:f>F9/D9*E9</x:f>
        <x:v>0.15</x:v>
      </x:c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Edit yellow cells. Required quantity scales to the desired servings.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tableParts count="1">
    <x:tablePart xmlns:r="http://schemas.openxmlformats.org/officeDocument/2006/relationships" r:id="Rb52ca2d1d4a242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3" hidden="0" customWidth="1"/>
    <x:col min="10" max="10" width="23" hidden="0" customWidth="1"/>
    <x:col min="11" max="11" width="14" hidden="0" customWidth="1"/>
    <x:col min="12" max="12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Desired servings</x:v>
      </x:c>
      <x:c r="B3" s="1" t="n">
        <x:f>Setup!B6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2" customHeight="1">
      <x:c r="A5" s="5" t="str">
        <x:v>Ingredient</x:v>
      </x:c>
      <x:c r="B5" s="5" t="str">
        <x:v>Required (g)</x:v>
      </x:c>
      <x:c r="C5" s="5" t="str">
        <x:v>Available stock (g)</x:v>
      </x:c>
      <x:c r="D5" s="5" t="str">
        <x:v>Additional needed (g)</x:v>
      </x:c>
      <x:c r="E5" s="5" t="str">
        <x:v>Package size (g)</x:v>
      </x:c>
      <x:c r="F5" s="5" t="str">
        <x:v>Package price (USD)</x:v>
      </x:c>
      <x:c r="G5" s="5" t="str">
        <x:v>Packages to buy</x:v>
      </x:c>
      <x:c r="H5" s="5" t="str">
        <x:v>Purchase cost (USD)</x:v>
      </x:c>
      <x:c r="I5" s="5" t="str">
        <x:v>Stock after cooking (g)</x:v>
      </x:c>
      <x:c r="J5" s="5" t="str">
        <x:v>Used-ingredient cost (USD)</x:v>
      </x:c>
      <x:c r="K5" s="1"/>
      <x:c r="L5" s="1"/>
    </x:row>
    <x:row r="6" ht="23" customHeight="1">
      <x:c r="A6" s="1" t="str">
        <x:f>Ingredients!A5</x:f>
        <x:v>Spaghetti (dry)</x:v>
      </x:c>
      <x:c r="B6" s="11" t="n">
        <x:f>Ingredients!F5</x:f>
        <x:v>600</x:v>
      </x:c>
      <x:c r="C6" s="11" t="n">
        <x:f>Ingredients!C5</x:f>
        <x:v>100</x:v>
      </x:c>
      <x:c r="D6" s="11" t="n">
        <x:f>MAX(0,B6-C6)</x:f>
        <x:v>500</x:v>
      </x:c>
      <x:c r="E6" s="11" t="n">
        <x:f>Ingredients!D5</x:f>
        <x:v>500</x:v>
      </x:c>
      <x:c r="F6" s="12" t="n">
        <x:f>Ingredients!E5</x:f>
        <x:v>2.5</x:v>
      </x:c>
      <x:c r="G6" s="7" t="n">
        <x:f>ROUNDUP(D6/E6,0)</x:f>
        <x:v>1</x:v>
      </x:c>
      <x:c r="H6" s="12" t="n">
        <x:f>G6*F6</x:f>
        <x:v>2.5</x:v>
      </x:c>
      <x:c r="I6" s="11" t="n">
        <x:f>C6+G6*E6-B6</x:f>
        <x:v>0</x:v>
      </x:c>
      <x:c r="J6" s="12" t="n">
        <x:f>Ingredients!G5</x:f>
        <x:v>3</x:v>
      </x:c>
      <x:c r="K6" s="1"/>
      <x:c r="L6" s="1"/>
    </x:row>
    <x:row r="7" ht="23" customHeight="1">
      <x:c r="A7" s="1" t="str">
        <x:f>Ingredients!A6</x:f>
        <x:v>Guanciale</x:v>
      </x:c>
      <x:c r="B7" s="11" t="n">
        <x:f>Ingredients!F6</x:f>
        <x:v>240</x:v>
      </x:c>
      <x:c r="C7" s="11" t="n">
        <x:f>Ingredients!C6</x:f>
        <x:v>20</x:v>
      </x:c>
      <x:c r="D7" s="11" t="n">
        <x:f>MAX(0,B7-C7)</x:f>
        <x:v>220</x:v>
      </x:c>
      <x:c r="E7" s="11" t="n">
        <x:f>Ingredients!D6</x:f>
        <x:v>100</x:v>
      </x:c>
      <x:c r="F7" s="12" t="n">
        <x:f>Ingredients!E6</x:f>
        <x:v>4</x:v>
      </x:c>
      <x:c r="G7" s="7" t="n">
        <x:f>ROUNDUP(D7/E7,0)</x:f>
        <x:v>3</x:v>
      </x:c>
      <x:c r="H7" s="12" t="n">
        <x:f>G7*F7</x:f>
        <x:v>12</x:v>
      </x:c>
      <x:c r="I7" s="11" t="n">
        <x:f>C7+G7*E7-B7</x:f>
        <x:v>80</x:v>
      </x:c>
      <x:c r="J7" s="12" t="n">
        <x:f>Ingredients!G6</x:f>
        <x:v>9.6</x:v>
      </x:c>
      <x:c r="K7" s="1"/>
      <x:c r="L7" s="1"/>
    </x:row>
    <x:row r="8" ht="23" customHeight="1">
      <x:c r="A8" s="1" t="str">
        <x:f>Ingredients!A7</x:f>
        <x:v>Egg yolks</x:v>
      </x:c>
      <x:c r="B8" s="11" t="n">
        <x:f>Ingredients!F7</x:f>
        <x:v>108</x:v>
      </x:c>
      <x:c r="C8" s="11" t="n">
        <x:f>Ingredients!C7</x:f>
        <x:v>0</x:v>
      </x:c>
      <x:c r="D8" s="11" t="n">
        <x:f>MAX(0,B8-C8)</x:f>
        <x:v>108</x:v>
      </x:c>
      <x:c r="E8" s="11" t="n">
        <x:f>Ingredients!D7</x:f>
        <x:v>36</x:v>
      </x:c>
      <x:c r="F8" s="12" t="n">
        <x:f>Ingredients!E7</x:f>
        <x:v>0.54</x:v>
      </x:c>
      <x:c r="G8" s="7" t="n">
        <x:f>ROUNDUP(D8/E8,0)</x:f>
        <x:v>3</x:v>
      </x:c>
      <x:c r="H8" s="12" t="n">
        <x:f>G8*F8</x:f>
        <x:v>1.62</x:v>
      </x:c>
      <x:c r="I8" s="11" t="n">
        <x:f>C8+G8*E8-B8</x:f>
        <x:v>0</x:v>
      </x:c>
      <x:c r="J8" s="12" t="n">
        <x:f>Ingredients!G7</x:f>
        <x:v>1.62</x:v>
      </x:c>
      <x:c r="K8" s="1"/>
      <x:c r="L8" s="1"/>
    </x:row>
    <x:row r="9" ht="23" customHeight="1">
      <x:c r="A9" s="1" t="str">
        <x:f>Ingredients!A8</x:f>
        <x:v>Pecorino Romano</x:v>
      </x:c>
      <x:c r="B9" s="11" t="n">
        <x:f>Ingredients!F8</x:f>
        <x:v>120</x:v>
      </x:c>
      <x:c r="C9" s="11" t="n">
        <x:f>Ingredients!C8</x:f>
        <x:v>10</x:v>
      </x:c>
      <x:c r="D9" s="11" t="n">
        <x:f>MAX(0,B9-C9)</x:f>
        <x:v>110</x:v>
      </x:c>
      <x:c r="E9" s="11" t="n">
        <x:f>Ingredients!D8</x:f>
        <x:v>100</x:v>
      </x:c>
      <x:c r="F9" s="12" t="n">
        <x:f>Ingredients!E8</x:f>
        <x:v>3.5</x:v>
      </x:c>
      <x:c r="G9" s="7" t="n">
        <x:f>ROUNDUP(D9/E9,0)</x:f>
        <x:v>2</x:v>
      </x:c>
      <x:c r="H9" s="12" t="n">
        <x:f>G9*F9</x:f>
        <x:v>7</x:v>
      </x:c>
      <x:c r="I9" s="11" t="n">
        <x:f>C9+G9*E9-B9</x:f>
        <x:v>90</x:v>
      </x:c>
      <x:c r="J9" s="12" t="n">
        <x:f>Ingredients!G8</x:f>
        <x:v>4.2</x:v>
      </x:c>
      <x:c r="K9" s="1"/>
      <x:c r="L9" s="1"/>
    </x:row>
    <x:row r="10" ht="23" customHeight="1">
      <x:c r="A10" s="1" t="str">
        <x:f>Ingredients!A9</x:f>
        <x:v>Black pepper</x:v>
      </x:c>
      <x:c r="B10" s="11" t="n">
        <x:f>Ingredients!F9</x:f>
        <x:v>3</x:v>
      </x:c>
      <x:c r="C10" s="11" t="n">
        <x:f>Ingredients!C9</x:f>
        <x:v>2</x:v>
      </x:c>
      <x:c r="D10" s="11" t="n">
        <x:f>MAX(0,B10-C10)</x:f>
        <x:v>1</x:v>
      </x:c>
      <x:c r="E10" s="11" t="n">
        <x:f>Ingredients!D9</x:f>
        <x:v>50</x:v>
      </x:c>
      <x:c r="F10" s="12" t="n">
        <x:f>Ingredients!E9</x:f>
        <x:v>2.5</x:v>
      </x:c>
      <x:c r="G10" s="7" t="n">
        <x:f>ROUNDUP(D10/E10,0)</x:f>
        <x:v>1</x:v>
      </x:c>
      <x:c r="H10" s="12" t="n">
        <x:f>G10*F10</x:f>
        <x:v>2.5</x:v>
      </x:c>
      <x:c r="I10" s="11" t="n">
        <x:f>C10+G10*E10-B10</x:f>
        <x:v>49</x:v>
      </x:c>
      <x:c r="J10" s="12" t="n">
        <x:f>Ingredients!G9</x:f>
        <x:v>0.15</x:v>
      </x:c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2"/>
      <x:c r="I11" s="1"/>
      <x:c r="J11" s="12"/>
      <x:c r="K11" s="1"/>
      <x:c r="L11" s="1"/>
    </x:row>
    <x:row r="12" ht="23" customHeight="1">
      <x:c r="A12" s="13" t="str">
        <x:v>Total (USD)</x:v>
      </x:c>
      <x:c r="B12" s="13"/>
      <x:c r="C12" s="13"/>
      <x:c r="D12" s="13"/>
      <x:c r="E12" s="13"/>
      <x:c r="F12" s="13"/>
      <x:c r="G12" s="13"/>
      <x:c r="H12" s="14" t="n">
        <x:f>SUM(H6:H10)</x:f>
        <x:v>25.62</x:v>
      </x:c>
      <x:c r="I12" s="13"/>
      <x:c r="J12" s="14" t="n">
        <x:f>SUM(J6:J10)</x:f>
        <x:v>18.569999999999997</x:v>
      </x:c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conditionalFormatting sqref="A6:J10">
    <x:cfRule type="expression" dxfId="0" priority="1">
      <x:formula>$G6&gt;0</x:formula>
    </x:cfRule>
  </x:conditionalFormatting>
  <x:conditionalFormatting sqref="H12:H12">
    <x:cfRule type="expression" dxfId="1" priority="2">
      <x:formula>H12&gt;Setup!$B$7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5" t="str">
        <x:v>Metric</x:v>
      </x:c>
      <x:c r="B4" s="5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 (USD)</x:v>
      </x:c>
      <x:c r="B6" s="12" t="n">
        <x:f>ShoppingList!J12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 (USD)</x:v>
      </x:c>
      <x:c r="B7" s="12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Purchase cost (USD)</x:v>
      </x:c>
      <x:c r="B8" s="12" t="n">
        <x:f>ShoppingList!H12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 (USD)</x:v>
      </x:c>
      <x:c r="B9" s="12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 (USD)</x:v>
      </x:c>
      <x:c r="B10" s="12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42" customHeight="1">
      <x:c r="A15" s="5" t="str">
        <x:v>Ingredient</x:v>
      </x:c>
      <x:c r="B15" s="5" t="str">
        <x:v>Purchase cost (USD)</x:v>
      </x:c>
      <x:c r="C15" s="5" t="str">
        <x:v>Used cost (USD)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ShoppingList!A6</x:f>
        <x:v>Spaghetti (dry)</x:v>
      </x:c>
      <x:c r="B16" s="12" t="n">
        <x:f>ShoppingList!H6</x:f>
        <x:v>2.5</x:v>
      </x:c>
      <x:c r="C16" s="12" t="n">
        <x:f>ShoppingList!J6</x:f>
        <x:v>3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ShoppingList!A7</x:f>
        <x:v>Guanciale</x:v>
      </x:c>
      <x:c r="B17" s="12" t="n">
        <x:f>ShoppingList!H7</x:f>
        <x:v>12</x:v>
      </x:c>
      <x:c r="C17" s="12" t="n">
        <x:f>ShoppingList!J7</x:f>
        <x:v>9.6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ShoppingList!A8</x:f>
        <x:v>Egg yolks</x:v>
      </x:c>
      <x:c r="B18" s="12" t="n">
        <x:f>ShoppingList!H8</x:f>
        <x:v>1.62</x:v>
      </x:c>
      <x:c r="C18" s="12" t="n">
        <x:f>ShoppingList!J8</x:f>
        <x:v>1.62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f>ShoppingList!A9</x:f>
        <x:v>Pecorino Romano</x:v>
      </x:c>
      <x:c r="B19" s="12" t="n">
        <x:f>ShoppingList!H9</x:f>
        <x:v>7</x:v>
      </x:c>
      <x:c r="C19" s="12" t="n">
        <x:f>ShoppingList!J9</x:f>
        <x:v>4.2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f>ShoppingList!A10</x:f>
        <x:v>Black pepper</x:v>
      </x:c>
      <x:c r="B20" s="12" t="n">
        <x:f>ShoppingList!H10</x:f>
        <x:v>2.5</x:v>
      </x:c>
      <x:c r="C20" s="12" t="n">
        <x:f>ShoppingList!J10</x:f>
        <x:v>0.15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conditionalFormatting sqref="B8:B8">
    <x:cfRule type="expression" dxfId="2" priority="1">
      <x:formula>B8&gt;B9</x:formula>
    </x:cfRule>
  </x:conditionalFormatting>
  <x:conditionalFormatting sqref="B11:B11">
    <x:cfRule type="expression" dxfId="3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c66cc8fe09b04e54"/>
</x:worksheet>
</file>