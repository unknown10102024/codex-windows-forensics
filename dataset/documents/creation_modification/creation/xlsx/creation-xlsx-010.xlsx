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ocuments\Codex\2026-10-03\create-an-editable-excel-workbook-for-20\work\"/>
    </mc:Choice>
  </mc:AlternateContent>
  <xr:revisionPtr revIDLastSave="0" documentId="13_ncr:1_{5F85A168-16D1-4AE2-AE56-C078F646E012}" xr6:coauthVersionLast="47" xr6:coauthVersionMax="47" xr10:uidLastSave="{00000000-0000-0000-0000-000000000000}"/>
  <bookViews>
    <workbookView xWindow="-120" yWindow="-120" windowWidth="38610" windowHeight="18720" xr2:uid="{00000000-000D-0000-FFFF-FFFF00000000}"/>
  </bookViews>
  <sheets>
    <sheet name="Setup" sheetId="1" r:id="rId1"/>
    <sheet name="Ingredients" sheetId="2" r:id="rId2"/>
    <sheet name="ShoppingList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4" l="1"/>
  <c r="B5" i="4"/>
  <c r="F11" i="3"/>
  <c r="E11" i="3"/>
  <c r="C11" i="3"/>
  <c r="A11" i="3"/>
  <c r="F10" i="3"/>
  <c r="E10" i="3"/>
  <c r="C10" i="3"/>
  <c r="A10" i="3"/>
  <c r="F9" i="3"/>
  <c r="E9" i="3"/>
  <c r="C9" i="3"/>
  <c r="A9" i="3"/>
  <c r="F8" i="3"/>
  <c r="E8" i="3"/>
  <c r="C8" i="3"/>
  <c r="A8" i="3"/>
  <c r="F7" i="3"/>
  <c r="E7" i="3"/>
  <c r="C7" i="3"/>
  <c r="A7" i="3"/>
  <c r="B4" i="3"/>
  <c r="F11" i="2"/>
  <c r="G11" i="2" s="1"/>
  <c r="J11" i="3" s="1"/>
  <c r="F10" i="2"/>
  <c r="G10" i="2" s="1"/>
  <c r="J10" i="3" s="1"/>
  <c r="F9" i="2"/>
  <c r="G9" i="2" s="1"/>
  <c r="J9" i="3" s="1"/>
  <c r="F8" i="2"/>
  <c r="G8" i="2" s="1"/>
  <c r="J8" i="3" s="1"/>
  <c r="F7" i="2"/>
  <c r="G7" i="2" s="1"/>
  <c r="J7" i="3" s="1"/>
  <c r="J13" i="3" l="1"/>
  <c r="B6" i="4" s="1"/>
  <c r="B7" i="4" s="1"/>
  <c r="B7" i="3"/>
  <c r="D7" i="3" s="1"/>
  <c r="G7" i="3" s="1"/>
  <c r="H7" i="3" s="1"/>
  <c r="B8" i="3"/>
  <c r="D8" i="3" s="1"/>
  <c r="G8" i="3" s="1"/>
  <c r="H8" i="3" s="1"/>
  <c r="B9" i="3"/>
  <c r="D9" i="3" s="1"/>
  <c r="G9" i="3" s="1"/>
  <c r="H9" i="3" s="1"/>
  <c r="B10" i="3"/>
  <c r="D10" i="3" s="1"/>
  <c r="G10" i="3" s="1"/>
  <c r="H10" i="3" s="1"/>
  <c r="B11" i="3"/>
  <c r="D11" i="3" s="1"/>
  <c r="G11" i="3" s="1"/>
  <c r="H11" i="3" s="1"/>
  <c r="I10" i="3" l="1"/>
  <c r="I8" i="3"/>
  <c r="H13" i="3"/>
  <c r="E5" i="4" s="1"/>
  <c r="I11" i="3"/>
  <c r="I9" i="3"/>
  <c r="I7" i="3"/>
  <c r="E9" i="4" l="1"/>
  <c r="E7" i="4"/>
</calcChain>
</file>

<file path=xl/sharedStrings.xml><?xml version="1.0" encoding="utf-8"?>
<sst xmlns="http://schemas.openxmlformats.org/spreadsheetml/2006/main" count="52" uniqueCount="43">
  <si>
    <t>Carbonara meal setup</t>
  </si>
  <si>
    <t>Base recipe servings</t>
  </si>
  <si>
    <t>Desired servings</t>
  </si>
  <si>
    <t>Whole numbers 1–20</t>
  </si>
  <si>
    <t>Shopping budget (USD)</t>
  </si>
  <si>
    <t>Zero or greater</t>
  </si>
  <si>
    <t>Amber cells are editable inputs.</t>
  </si>
  <si>
    <t>How to use</t>
  </si>
  <si>
    <t>Set servings and budget above. Edit recipe quantities, stock, and package details on Ingredients.</t>
  </si>
  <si>
    <t>ShoppingList calculates whole packages to buy and stock remaining after cooking.</t>
  </si>
  <si>
    <t>Dashboard compares shopping spend with the budget and shows ingredient cost shares.</t>
  </si>
  <si>
    <t>Carbonara ingredients</t>
  </si>
  <si>
    <t>Source: supplied illustrative data. All quantities are grams. Egg yolks exclude shells and whites.</t>
  </si>
  <si>
    <t>Ingredient</t>
  </si>
  <si>
    <t>Base quantity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</si>
  <si>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</si>
  <si>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</si>
  <si>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</si>
  <si>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</si>
  <si>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</si>
  <si>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</si>
  <si>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</si>
  <si>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</si>
  <si>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</si>
  <si>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</si>
  <si>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Base quantities serve 2. Required quantity scales with desired servings on Setup.</t>
  </si>
  <si>
    <t>Used-ingredient cost = required quantity ÷ package size × package price, including ingredients from stock.</t>
  </si>
  <si>
    <t>Amber cells are editable. Green cells contain formulas.</t>
  </si>
  <si>
    <t>Carbonara shopping list</t>
  </si>
  <si>
    <t>Required (g)</t>
  </si>
  <si>
    <t>Additional needed (g)</t>
  </si>
  <si>
    <t>Packages to buy</t>
  </si>
  <si>
    <t>Purchase cost (USD)</t>
  </si>
  <si>
    <t>Stock after cooking (g)</t>
  </si>
  <si>
    <t>Total cost (USD)</t>
  </si>
  <si>
    <t>Shaded rows require a purchase. Zero-purchase ingredients stay visible.</t>
  </si>
  <si>
    <t>Purchase cost buys whole packages. Stock after cooking = available stock + purchases − required quantity.</t>
  </si>
  <si>
    <t>Carbonara cost dashboard</t>
  </si>
  <si>
    <t>Total purchase cost (USD)</t>
  </si>
  <si>
    <t>Used cost per serving (USD)</t>
  </si>
  <si>
    <t>Budget remaining (USD)</t>
  </si>
  <si>
    <t>Budget status</t>
  </si>
  <si>
    <t>Edit servings and budget on Setup. Edit ingredient inputs on Ingredients.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</si>
</sst>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8">
    <font>
      <sz val="11"/>
      <name val="Carlito"/>
    </font>
    <font>
      <sz val="11"/>
      <color rgb="FF243B35"/>
      <name val="Arial"/>
    </font>
    <font>
      <b/>
      <sz val="16"/>
      <color rgb="FF243B35"/>
      <name val="Arial"/>
    </font>
    <font>
      <b/>
      <sz val="11"/>
      <color rgb="FF243B35"/>
      <name val="Arial"/>
    </font>
    <font>
      <sz val="11"/>
      <color rgb="FF24519B"/>
      <name val="Arial"/>
    </font>
    <font>
      <i/>
      <sz val="11"/>
      <color rgb="FF64736B"/>
      <name val="Arial"/>
    </font>
    <font>
      <b/>
      <sz val="11"/>
      <color rgb="FFFFFFFF"/>
      <name val="Arial"/>
    </font>
    <font>
      <b/>
      <sz val="14"/>
      <color rgb="FF243B35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385C4C"/>
      </patternFill>
    </fill>
    <fill>
      <patternFill patternType="solid">
        <fgColor rgb="FFEAF0EB"/>
      </patternFill>
    </fill>
  </fills>
  <borders count="6">
    <border>
      <left/>
      <right/>
      <top/>
      <bottom/>
      <diagonal/>
    </border>
    <border>
      <left/>
      <right/>
      <top/>
      <bottom style="thin">
        <color rgb="FF385C4C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385C4C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1" fontId="1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Border="1" applyAlignment="1">
      <alignment vertical="center"/>
    </xf>
    <xf numFmtId="1" fontId="1" fillId="0" borderId="0" xfId="0" applyNumberFormat="1" applyFont="1" applyFill="1" applyBorder="1" applyAlignment="1">
      <alignment horizontal="right" vertical="center"/>
    </xf>
    <xf numFmtId="164" fontId="1" fillId="0" borderId="0" xfId="0" applyNumberFormat="1" applyFont="1" applyFill="1" applyBorder="1" applyAlignment="1">
      <alignment horizontal="right" vertical="center"/>
    </xf>
    <xf numFmtId="1" fontId="4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0" fontId="5" fillId="0" borderId="0" xfId="0" applyNumberFormat="1" applyFont="1" applyFill="1" applyBorder="1" applyAlignment="1">
      <alignment vertical="center"/>
    </xf>
    <xf numFmtId="0" fontId="6" fillId="3" borderId="2" xfId="0" applyNumberFormat="1" applyFont="1" applyFill="1" applyBorder="1" applyAlignment="1">
      <alignment horizontal="center" vertical="center" wrapText="1"/>
    </xf>
    <xf numFmtId="0" fontId="6" fillId="3" borderId="3" xfId="0" applyNumberFormat="1" applyFont="1" applyFill="1" applyBorder="1" applyAlignment="1">
      <alignment horizontal="center" vertical="center" wrapText="1"/>
    </xf>
    <xf numFmtId="0" fontId="6" fillId="3" borderId="4" xfId="0" applyNumberFormat="1" applyFont="1" applyFill="1" applyBorder="1" applyAlignment="1">
      <alignment horizontal="center" vertical="center" wrapText="1"/>
    </xf>
    <xf numFmtId="0" fontId="4" fillId="2" borderId="0" xfId="0" applyNumberFormat="1" applyFont="1" applyFill="1" applyBorder="1" applyAlignment="1">
      <alignment vertical="center"/>
    </xf>
    <xf numFmtId="165" fontId="4" fillId="2" borderId="0" xfId="0" applyNumberFormat="1" applyFont="1" applyFill="1" applyBorder="1" applyAlignment="1">
      <alignment horizontal="right" vertical="center"/>
    </xf>
    <xf numFmtId="165" fontId="1" fillId="4" borderId="0" xfId="0" applyNumberFormat="1" applyFont="1" applyFill="1" applyBorder="1" applyAlignment="1">
      <alignment horizontal="right" vertical="center"/>
    </xf>
    <xf numFmtId="164" fontId="1" fillId="4" borderId="0" xfId="0" applyNumberFormat="1" applyFont="1" applyFill="1" applyBorder="1" applyAlignment="1">
      <alignment horizontal="right" vertical="center"/>
    </xf>
    <xf numFmtId="165" fontId="1" fillId="0" borderId="0" xfId="0" applyNumberFormat="1" applyFont="1" applyFill="1" applyBorder="1" applyAlignment="1">
      <alignment horizontal="right" vertical="center"/>
    </xf>
    <xf numFmtId="0" fontId="3" fillId="4" borderId="5" xfId="0" applyNumberFormat="1" applyFont="1" applyFill="1" applyBorder="1" applyAlignment="1">
      <alignment vertical="center"/>
    </xf>
    <xf numFmtId="164" fontId="3" fillId="4" borderId="5" xfId="0" applyNumberFormat="1" applyFont="1" applyFill="1" applyBorder="1" applyAlignment="1">
      <alignment vertical="center"/>
    </xf>
    <xf numFmtId="1" fontId="7" fillId="4" borderId="0" xfId="0" applyNumberFormat="1" applyFont="1" applyFill="1" applyBorder="1" applyAlignment="1">
      <alignment horizontal="right" vertical="center"/>
    </xf>
    <xf numFmtId="164" fontId="7" fillId="4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5">
    <dxf>
      <font>
        <b/>
        <color rgb="FFA4262C"/>
      </font>
      <fill>
        <patternFill patternType="solid">
          <bgColor rgb="FFFCE8E6"/>
        </patternFill>
      </fill>
    </dxf>
    <dxf>
      <font>
        <b/>
        <color rgb="FFA4262C"/>
      </font>
      <fill>
        <patternFill patternType="solid">
          <bgColor rgb="FFFCE8E6"/>
        </patternFill>
      </fill>
    </dxf>
    <dxf>
      <font>
        <b/>
        <color rgb="FFA4262C"/>
      </font>
      <fill>
        <patternFill patternType="solid">
          <bgColor rgb="FFFCE8E6"/>
        </patternFill>
      </fill>
    </dxf>
    <dxf>
      <font>
        <b/>
        <color rgb="FFA4262C"/>
      </font>
      <fill>
        <patternFill patternType="solid">
          <bgColor rgb="FFFCE8E6"/>
        </patternFill>
      </fill>
    </dxf>
    <dxf>
      <fill>
        <patternFill patternType="solid">
          <bgColor rgb="FFE1ED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85C4C"/>
            </a:solidFill>
          </c:spPr>
          <c:invertIfNegative val="1"/>
          <c:cat>
            <c:strRef>
              <c:f>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C104-49A6-9E78-833274910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85-4E8A-8059-D7CC93738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0</xdr:colOff>
      <xdr:row>26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12</xdr:row>
      <xdr:rowOff>0</xdr:rowOff>
    </xdr:from>
    <xdr:to>
      <xdr:col>8</xdr:col>
      <xdr:colOff>0</xdr:colOff>
      <xdr:row>26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gredientsTable" displayName="IngredientsTable" ref="A6:G11" totalsRowShown="0">
  <autoFilter ref="A6:G11" xr:uid="{00000000-0009-0000-0100-000001000000}"/>
  <tableColumns count="7">
    <tableColumn id="1" xr3:uid="{00000000-0010-0000-0000-000001000000}" name="Ingredient"/>
    <tableColumn id="2" xr3:uid="{00000000-0010-0000-0000-000002000000}" name="Base quantity (g)"/>
    <tableColumn id="3" xr3:uid="{00000000-0010-0000-0000-000003000000}" name="Stock available (g)"/>
    <tableColumn id="4" xr3:uid="{00000000-0010-0000-0000-000004000000}" name="Package size (g)"/>
    <tableColumn id="5" xr3:uid="{00000000-0010-0000-0000-000005000000}" name="Package price (USD)"/>
    <tableColumn id="6" xr3:uid="{00000000-0010-0000-0000-000006000000}" name="Required quantity (g)"/>
    <tableColumn id="7" xr3:uid="{00000000-0010-0000-0000-000007000000}" name="Used-ingredient cost (USD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E927E"/>
  </sheetPr>
  <dimension ref="A1:F17"/>
  <sheetViews>
    <sheetView showGridLines="0" tabSelected="1" workbookViewId="0"/>
  </sheetViews>
  <sheetFormatPr defaultRowHeight="14.25"/>
  <cols>
    <col min="1" max="1" width="32" customWidth="1"/>
    <col min="2" max="2" width="18" customWidth="1"/>
    <col min="3" max="3" width="4" customWidth="1"/>
    <col min="4" max="6" width="20" customWidth="1"/>
  </cols>
  <sheetData>
    <row r="1" spans="1:6" ht="24.95" customHeight="1">
      <c r="A1" s="1"/>
      <c r="B1" s="1"/>
      <c r="C1" s="1"/>
      <c r="D1" s="1"/>
      <c r="E1" s="1"/>
      <c r="F1" s="1"/>
    </row>
    <row r="2" spans="1:6" ht="30" customHeight="1">
      <c r="A2" s="2" t="s">
        <v>0</v>
      </c>
      <c r="B2" s="1"/>
      <c r="C2" s="1"/>
      <c r="D2" s="1"/>
      <c r="E2" s="1"/>
      <c r="F2" s="1"/>
    </row>
    <row r="3" spans="1:6" ht="8.1" customHeight="1">
      <c r="A3" s="3"/>
      <c r="B3" s="3"/>
      <c r="C3" s="3"/>
      <c r="D3" s="3"/>
      <c r="E3" s="3"/>
      <c r="F3" s="3"/>
    </row>
    <row r="4" spans="1:6" ht="24.95" customHeight="1">
      <c r="A4" s="1"/>
      <c r="B4" s="1"/>
      <c r="C4" s="1"/>
      <c r="D4" s="1"/>
      <c r="E4" s="1"/>
      <c r="F4" s="1"/>
    </row>
    <row r="5" spans="1:6" ht="24.95" customHeight="1">
      <c r="A5" s="4" t="s">
        <v>1</v>
      </c>
      <c r="B5" s="7">
        <v>2</v>
      </c>
      <c r="C5" s="1"/>
      <c r="D5" s="1"/>
      <c r="E5" s="1"/>
      <c r="F5" s="1"/>
    </row>
    <row r="6" spans="1:6" ht="24.95" customHeight="1">
      <c r="A6" s="4" t="s">
        <v>2</v>
      </c>
      <c r="B6" s="9">
        <v>6</v>
      </c>
      <c r="C6" s="1"/>
      <c r="D6" s="11" t="s">
        <v>3</v>
      </c>
      <c r="E6" s="1"/>
      <c r="F6" s="1"/>
    </row>
    <row r="7" spans="1:6" ht="24.95" customHeight="1">
      <c r="A7" s="4" t="s">
        <v>4</v>
      </c>
      <c r="B7" s="10">
        <v>20</v>
      </c>
      <c r="C7" s="1"/>
      <c r="D7" s="11" t="s">
        <v>5</v>
      </c>
      <c r="E7" s="1"/>
      <c r="F7" s="1"/>
    </row>
    <row r="8" spans="1:6" ht="24.95" customHeight="1">
      <c r="A8" s="1"/>
      <c r="B8" s="1"/>
      <c r="C8" s="1"/>
      <c r="D8" s="1"/>
      <c r="E8" s="1"/>
      <c r="F8" s="1"/>
    </row>
    <row r="9" spans="1:6" ht="24.95" customHeight="1">
      <c r="A9" s="1"/>
      <c r="B9" s="1"/>
      <c r="C9" s="1"/>
      <c r="D9" s="1"/>
      <c r="E9" s="1"/>
      <c r="F9" s="1"/>
    </row>
    <row r="10" spans="1:6" ht="24.95" customHeight="1">
      <c r="A10" s="11" t="s">
        <v>6</v>
      </c>
      <c r="B10" s="1"/>
      <c r="C10" s="1"/>
      <c r="D10" s="1"/>
      <c r="E10" s="1"/>
      <c r="F10" s="1"/>
    </row>
    <row r="11" spans="1:6" ht="24.95" customHeight="1">
      <c r="A11" s="1"/>
      <c r="B11" s="1"/>
      <c r="C11" s="1"/>
      <c r="D11" s="1"/>
      <c r="E11" s="1"/>
      <c r="F11" s="1"/>
    </row>
    <row r="12" spans="1:6" ht="24.95" customHeight="1">
      <c r="A12" s="4" t="s">
        <v>7</v>
      </c>
      <c r="B12" s="1"/>
      <c r="C12" s="1"/>
      <c r="D12" s="1"/>
      <c r="E12" s="1"/>
      <c r="F12" s="1"/>
    </row>
    <row r="13" spans="1:6" ht="24.95" customHeight="1">
      <c r="A13" s="1" t="s">
        <v>8</v>
      </c>
      <c r="B13" s="1"/>
      <c r="C13" s="1"/>
      <c r="D13" s="1"/>
      <c r="E13" s="1"/>
      <c r="F13" s="1"/>
    </row>
    <row r="14" spans="1:6" ht="24.95" customHeight="1">
      <c r="A14" s="1" t="s">
        <v>9</v>
      </c>
      <c r="B14" s="1"/>
      <c r="C14" s="1"/>
      <c r="D14" s="1"/>
      <c r="E14" s="1"/>
      <c r="F14" s="1"/>
    </row>
    <row r="15" spans="1:6" ht="24.95" customHeight="1">
      <c r="A15" s="1" t="s">
        <v>10</v>
      </c>
      <c r="B15" s="1"/>
      <c r="C15" s="1"/>
      <c r="D15" s="1"/>
      <c r="E15" s="1"/>
      <c r="F15" s="1"/>
    </row>
    <row r="16" spans="1:6" ht="24.95" customHeight="1">
      <c r="A16" s="1"/>
      <c r="B16" s="1"/>
      <c r="C16" s="1"/>
      <c r="D16" s="1"/>
      <c r="E16" s="1"/>
      <c r="F16" s="1"/>
    </row>
    <row r="17" spans="1:6" ht="24.95" customHeight="1">
      <c r="A17" s="1"/>
      <c r="B17" s="1"/>
      <c r="C17" s="1"/>
      <c r="D17" s="1"/>
      <c r="E17" s="1"/>
      <c r="F17" s="1"/>
    </row>
  </sheetData>
  <dataValidations count="2">
    <dataValidation type="whole" showInputMessage="1" showErrorMessage="1" errorTitle="Invalid entry" error="Enter a whole number from 1 through 20." promptTitle="Editable input" prompt="Enter a whole number from 1 through 20." sqref="B6" xr:uid="{00000000-0002-0000-0000-000000000000}">
      <formula1>1</formula1>
      <formula2>20</formula2>
    </dataValidation>
    <dataValidation type="decimal" operator="greaterThanOrEqual" showInputMessage="1" showErrorMessage="1" errorTitle="Invalid entry" error="Enter a nonnegative shopping budget in USD." promptTitle="Editable input" prompt="Enter a nonnegative shopping budget in USD." sqref="B7" xr:uid="{00000000-0002-0000-0000-000001000000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showGridLines="0" workbookViewId="0">
      <pane ySplit="6" topLeftCell="A7" activePane="bottomLeft" state="frozen"/>
      <selection pane="bottomLeft"/>
    </sheetView>
  </sheetViews>
  <sheetFormatPr defaultRowHeight="14.25"/>
  <cols>
    <col min="1" max="1" width="25" customWidth="1"/>
    <col min="2" max="2" width="20" customWidth="1"/>
    <col min="3" max="3" width="17" customWidth="1"/>
    <col min="4" max="4" width="18" customWidth="1"/>
    <col min="5" max="5" width="19" customWidth="1"/>
    <col min="6" max="6" width="20" customWidth="1"/>
    <col min="7" max="7" width="22" customWidth="1"/>
  </cols>
  <sheetData>
    <row r="1" spans="1:7" ht="24.95" customHeight="1">
      <c r="A1" s="1"/>
      <c r="B1" s="1"/>
      <c r="C1" s="1"/>
      <c r="D1" s="1"/>
      <c r="E1" s="1"/>
      <c r="F1" s="1"/>
      <c r="G1" s="1"/>
    </row>
    <row r="2" spans="1:7" ht="30" customHeight="1">
      <c r="A2" s="2" t="s">
        <v>11</v>
      </c>
      <c r="B2" s="1"/>
      <c r="C2" s="1"/>
      <c r="D2" s="1"/>
      <c r="E2" s="1"/>
      <c r="F2" s="1"/>
      <c r="G2" s="1"/>
    </row>
    <row r="3" spans="1:7" ht="8.1" customHeight="1">
      <c r="A3" s="3"/>
      <c r="B3" s="3"/>
      <c r="C3" s="3"/>
      <c r="D3" s="3"/>
      <c r="E3" s="3"/>
      <c r="F3" s="3"/>
      <c r="G3" s="3"/>
    </row>
    <row r="4" spans="1:7" ht="24.95" customHeight="1">
      <c r="A4" s="11" t="s">
        <v>12</v>
      </c>
      <c r="B4" s="1"/>
      <c r="C4" s="1"/>
      <c r="D4" s="1"/>
      <c r="E4" s="1"/>
      <c r="F4" s="1"/>
      <c r="G4" s="1"/>
    </row>
    <row r="5" spans="1:7" ht="24.95" customHeight="1">
      <c r="A5" s="1"/>
      <c r="B5" s="1"/>
      <c r="C5" s="1"/>
      <c r="D5" s="1"/>
      <c r="E5" s="1"/>
      <c r="F5" s="1"/>
      <c r="G5" s="1"/>
    </row>
    <row r="6" spans="1:7" ht="44.1" customHeight="1">
      <c r="A6" s="12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3" t="s">
        <v>18</v>
      </c>
      <c r="G6" s="14" t="s">
        <v>19</v>
      </c>
    </row>
    <row r="7" spans="1:7" ht="29.1" customHeight="1">
      <c r="A7" s="15" t="s">
        <v>20</v>
      </c>
      <c r="B7" s="16">
        <v>200</v>
      </c>
      <c r="C7" s="16">
        <v>100</v>
      </c>
      <c r="D7" s="16">
        <v>500</v>
      </c>
      <c r="E7" s="10">
        <v>2.5</v>
      </c>
      <c r="F7" s="17">
        <f>B7*Setup!$B$6/Setup!$B$5</f>
        <v>600</v>
      </c>
      <c r="G7" s="18">
        <f>F7/D7*E7</f>
        <v>3</v>
      </c>
    </row>
    <row r="8" spans="1:7" ht="29.1" customHeight="1">
      <c r="A8" s="15" t="s">
        <v>21</v>
      </c>
      <c r="B8" s="16">
        <v>80</v>
      </c>
      <c r="C8" s="16">
        <v>20</v>
      </c>
      <c r="D8" s="16">
        <v>100</v>
      </c>
      <c r="E8" s="10">
        <v>4</v>
      </c>
      <c r="F8" s="17">
        <f>B8*Setup!$B$6/Setup!$B$5</f>
        <v>240</v>
      </c>
      <c r="G8" s="18">
        <f>F8/D8*E8</f>
        <v>9.6</v>
      </c>
    </row>
    <row r="9" spans="1:7" ht="29.1" customHeight="1">
      <c r="A9" s="15" t="s">
        <v>22</v>
      </c>
      <c r="B9" s="16">
        <v>36</v>
      </c>
      <c r="C9" s="16">
        <v>0</v>
      </c>
      <c r="D9" s="16">
        <v>36</v>
      </c>
      <c r="E9" s="10">
        <v>0.54</v>
      </c>
      <c r="F9" s="17">
        <f>B9*Setup!$B$6/Setup!$B$5</f>
        <v>108</v>
      </c>
      <c r="G9" s="18">
        <f>F9/D9*E9</f>
        <v>1.62</v>
      </c>
    </row>
    <row r="10" spans="1:7" ht="29.1" customHeight="1">
      <c r="A10" s="15" t="s">
        <v>23</v>
      </c>
      <c r="B10" s="16">
        <v>40</v>
      </c>
      <c r="C10" s="16">
        <v>10</v>
      </c>
      <c r="D10" s="16">
        <v>100</v>
      </c>
      <c r="E10" s="10">
        <v>3.5</v>
      </c>
      <c r="F10" s="17">
        <f>B10*Setup!$B$6/Setup!$B$5</f>
        <v>120</v>
      </c>
      <c r="G10" s="18">
        <f>F10/D10*E10</f>
        <v>4.2</v>
      </c>
    </row>
    <row r="11" spans="1:7" ht="29.1" customHeight="1">
      <c r="A11" s="15" t="s">
        <v>24</v>
      </c>
      <c r="B11" s="16">
        <v>1</v>
      </c>
      <c r="C11" s="16">
        <v>2</v>
      </c>
      <c r="D11" s="16">
        <v>50</v>
      </c>
      <c r="E11" s="10">
        <v>2.5</v>
      </c>
      <c r="F11" s="17">
        <f>B11*Setup!$B$6/Setup!$B$5</f>
        <v>3</v>
      </c>
      <c r="G11" s="18">
        <f>F11/D11*E11</f>
        <v>0.15</v>
      </c>
    </row>
    <row r="12" spans="1:7" ht="24.95" customHeight="1">
      <c r="A12" s="1"/>
      <c r="B12" s="1"/>
      <c r="C12" s="1"/>
      <c r="D12" s="1"/>
      <c r="E12" s="1"/>
      <c r="F12" s="1"/>
      <c r="G12" s="1"/>
    </row>
    <row r="13" spans="1:7" ht="24.95" customHeight="1">
      <c r="A13" s="11" t="s">
        <v>25</v>
      </c>
      <c r="B13" s="1"/>
      <c r="C13" s="1"/>
      <c r="D13" s="1"/>
      <c r="E13" s="1"/>
      <c r="F13" s="1"/>
      <c r="G13" s="1"/>
    </row>
    <row r="14" spans="1:7" ht="24.95" customHeight="1">
      <c r="A14" s="11" t="s">
        <v>26</v>
      </c>
      <c r="B14" s="1"/>
      <c r="C14" s="1"/>
      <c r="D14" s="1"/>
      <c r="E14" s="1"/>
      <c r="F14" s="1"/>
      <c r="G14" s="1"/>
    </row>
    <row r="15" spans="1:7" ht="24.95" customHeight="1">
      <c r="A15" s="11" t="s">
        <v>27</v>
      </c>
      <c r="B15" s="1"/>
      <c r="C15" s="1"/>
      <c r="D15" s="1"/>
      <c r="E15" s="1"/>
      <c r="F15" s="1"/>
      <c r="G15" s="1"/>
    </row>
    <row r="16" spans="1:7" ht="24.95" customHeight="1">
      <c r="A16" s="1"/>
      <c r="B16" s="1"/>
      <c r="C16" s="1"/>
      <c r="D16" s="1"/>
      <c r="E16" s="1"/>
      <c r="F16" s="1"/>
      <c r="G16" s="1"/>
    </row>
  </sheetData>
  <dataValidations count="3">
    <dataValidation type="decimal" operator="greaterThanOrEqual" showInputMessage="1" showErrorMessage="1" errorTitle="Invalid entry" error="Enter a quantity in grams, zero or greater." promptTitle="Editable input" prompt="Enter a quantity in grams, zero or greater." sqref="B7:C11" xr:uid="{00000000-0002-0000-0100-000000000000}">
      <formula1>0</formula1>
    </dataValidation>
    <dataValidation type="decimal" operator="greaterThan" showInputMessage="1" showErrorMessage="1" errorTitle="Invalid entry" error="Enter a package size greater than zero grams." promptTitle="Editable input" prompt="Enter a package size greater than zero grams." sqref="D7:D11" xr:uid="{00000000-0002-0000-0100-000001000000}">
      <formula1>0</formula1>
    </dataValidation>
    <dataValidation type="decimal" operator="greaterThanOrEqual" showInputMessage="1" showErrorMessage="1" errorTitle="Invalid entry" error="Enter a nonnegative package price in USD." promptTitle="Editable input" prompt="Enter a nonnegative package price in USD." sqref="E7:E11" xr:uid="{00000000-0002-0000-0100-00000200000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showGridLines="0" workbookViewId="0">
      <pane ySplit="6" topLeftCell="A7" activePane="bottomLeft" state="frozen"/>
      <selection pane="bottomLeft"/>
    </sheetView>
  </sheetViews>
  <sheetFormatPr defaultRowHeight="14.25"/>
  <cols>
    <col min="1" max="1" width="25" customWidth="1"/>
    <col min="2" max="3" width="16" customWidth="1"/>
    <col min="4" max="4" width="18" customWidth="1"/>
    <col min="5" max="5" width="16" customWidth="1"/>
    <col min="6" max="6" width="17" customWidth="1"/>
    <col min="7" max="7" width="16" customWidth="1"/>
    <col min="8" max="8" width="18" customWidth="1"/>
    <col min="9" max="9" width="20" customWidth="1"/>
    <col min="10" max="10" width="22" customWidth="1"/>
  </cols>
  <sheetData>
    <row r="1" spans="1:10" ht="24.9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28</v>
      </c>
      <c r="B2" s="1"/>
      <c r="C2" s="1"/>
      <c r="D2" s="1"/>
      <c r="E2" s="1"/>
      <c r="F2" s="1"/>
      <c r="G2" s="1"/>
      <c r="H2" s="1"/>
      <c r="I2" s="1"/>
      <c r="J2" s="1"/>
    </row>
    <row r="3" spans="1:10" ht="8.1" customHeight="1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ht="24.95" customHeight="1">
      <c r="A4" s="1" t="s">
        <v>2</v>
      </c>
      <c r="B4" s="5">
        <f>Setup!B6</f>
        <v>6</v>
      </c>
      <c r="C4" s="1"/>
      <c r="D4" s="1"/>
      <c r="E4" s="1"/>
      <c r="F4" s="1"/>
      <c r="G4" s="1"/>
      <c r="H4" s="1"/>
      <c r="I4" s="1"/>
      <c r="J4" s="1"/>
    </row>
    <row r="5" spans="1:10" ht="24.95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44.1" customHeight="1">
      <c r="A6" s="12" t="s">
        <v>13</v>
      </c>
      <c r="B6" s="13" t="s">
        <v>29</v>
      </c>
      <c r="C6" s="13" t="s">
        <v>15</v>
      </c>
      <c r="D6" s="13" t="s">
        <v>30</v>
      </c>
      <c r="E6" s="13" t="s">
        <v>16</v>
      </c>
      <c r="F6" s="13" t="s">
        <v>17</v>
      </c>
      <c r="G6" s="13" t="s">
        <v>31</v>
      </c>
      <c r="H6" s="13" t="s">
        <v>32</v>
      </c>
      <c r="I6" s="13" t="s">
        <v>33</v>
      </c>
      <c r="J6" s="14" t="s">
        <v>19</v>
      </c>
    </row>
    <row r="7" spans="1:10" ht="29.1" customHeight="1">
      <c r="A7" s="1" t="str">
        <f>Ingredients!A7</f>
        <v>Spaghetti (dry)</v>
      </c>
      <c r="B7" s="19">
        <f>Ingredients!F7</f>
        <v>600</v>
      </c>
      <c r="C7" s="19">
        <f>Ingredients!C7</f>
        <v>100</v>
      </c>
      <c r="D7" s="19">
        <f>MAX(B7-C7,0)</f>
        <v>500</v>
      </c>
      <c r="E7" s="19">
        <f>Ingredients!D7</f>
        <v>500</v>
      </c>
      <c r="F7" s="8">
        <f>Ingredients!E7</f>
        <v>2.5</v>
      </c>
      <c r="G7" s="7">
        <f>ROUNDUP(D7/E7,0)</f>
        <v>1</v>
      </c>
      <c r="H7" s="8">
        <f>G7*F7</f>
        <v>2.5</v>
      </c>
      <c r="I7" s="19">
        <f>C7+G7*E7-B7</f>
        <v>0</v>
      </c>
      <c r="J7" s="8">
        <f>Ingredients!G7</f>
        <v>3</v>
      </c>
    </row>
    <row r="8" spans="1:10" ht="29.1" customHeight="1">
      <c r="A8" s="1" t="str">
        <f>Ingredients!A8</f>
        <v>Guanciale</v>
      </c>
      <c r="B8" s="19">
        <f>Ingredients!F8</f>
        <v>240</v>
      </c>
      <c r="C8" s="19">
        <f>Ingredients!C8</f>
        <v>20</v>
      </c>
      <c r="D8" s="19">
        <f>MAX(B8-C8,0)</f>
        <v>220</v>
      </c>
      <c r="E8" s="19">
        <f>Ingredients!D8</f>
        <v>100</v>
      </c>
      <c r="F8" s="8">
        <f>Ingredients!E8</f>
        <v>4</v>
      </c>
      <c r="G8" s="7">
        <f>ROUNDUP(D8/E8,0)</f>
        <v>3</v>
      </c>
      <c r="H8" s="8">
        <f>G8*F8</f>
        <v>12</v>
      </c>
      <c r="I8" s="19">
        <f>C8+G8*E8-B8</f>
        <v>80</v>
      </c>
      <c r="J8" s="8">
        <f>Ingredients!G8</f>
        <v>9.6</v>
      </c>
    </row>
    <row r="9" spans="1:10" ht="29.1" customHeight="1">
      <c r="A9" s="1" t="str">
        <f>Ingredients!A9</f>
        <v>Egg yolks</v>
      </c>
      <c r="B9" s="19">
        <f>Ingredients!F9</f>
        <v>108</v>
      </c>
      <c r="C9" s="19">
        <f>Ingredients!C9</f>
        <v>0</v>
      </c>
      <c r="D9" s="19">
        <f>MAX(B9-C9,0)</f>
        <v>108</v>
      </c>
      <c r="E9" s="19">
        <f>Ingredients!D9</f>
        <v>36</v>
      </c>
      <c r="F9" s="8">
        <f>Ingredients!E9</f>
        <v>0.54</v>
      </c>
      <c r="G9" s="7">
        <f>ROUNDUP(D9/E9,0)</f>
        <v>3</v>
      </c>
      <c r="H9" s="8">
        <f>G9*F9</f>
        <v>1.62</v>
      </c>
      <c r="I9" s="19">
        <f>C9+G9*E9-B9</f>
        <v>0</v>
      </c>
      <c r="J9" s="8">
        <f>Ingredients!G9</f>
        <v>1.62</v>
      </c>
    </row>
    <row r="10" spans="1:10" ht="29.1" customHeight="1">
      <c r="A10" s="1" t="str">
        <f>Ingredients!A10</f>
        <v>Pecorino Romano</v>
      </c>
      <c r="B10" s="19">
        <f>Ingredients!F10</f>
        <v>120</v>
      </c>
      <c r="C10" s="19">
        <f>Ingredients!C10</f>
        <v>10</v>
      </c>
      <c r="D10" s="19">
        <f>MAX(B10-C10,0)</f>
        <v>110</v>
      </c>
      <c r="E10" s="19">
        <f>Ingredients!D10</f>
        <v>100</v>
      </c>
      <c r="F10" s="8">
        <f>Ingredients!E10</f>
        <v>3.5</v>
      </c>
      <c r="G10" s="7">
        <f>ROUNDUP(D10/E10,0)</f>
        <v>2</v>
      </c>
      <c r="H10" s="8">
        <f>G10*F10</f>
        <v>7</v>
      </c>
      <c r="I10" s="19">
        <f>C10+G10*E10-B10</f>
        <v>90</v>
      </c>
      <c r="J10" s="8">
        <f>Ingredients!G10</f>
        <v>4.2</v>
      </c>
    </row>
    <row r="11" spans="1:10" ht="29.1" customHeight="1">
      <c r="A11" s="1" t="str">
        <f>Ingredients!A11</f>
        <v>Black pepper</v>
      </c>
      <c r="B11" s="19">
        <f>Ingredients!F11</f>
        <v>3</v>
      </c>
      <c r="C11" s="19">
        <f>Ingredients!C11</f>
        <v>2</v>
      </c>
      <c r="D11" s="19">
        <f>MAX(B11-C11,0)</f>
        <v>1</v>
      </c>
      <c r="E11" s="19">
        <f>Ingredients!D11</f>
        <v>50</v>
      </c>
      <c r="F11" s="8">
        <f>Ingredients!E11</f>
        <v>2.5</v>
      </c>
      <c r="G11" s="7">
        <f>ROUNDUP(D11/E11,0)</f>
        <v>1</v>
      </c>
      <c r="H11" s="8">
        <f>G11*F11</f>
        <v>2.5</v>
      </c>
      <c r="I11" s="19">
        <f>C11+G11*E11-B11</f>
        <v>49</v>
      </c>
      <c r="J11" s="8">
        <f>Ingredients!G11</f>
        <v>0.15</v>
      </c>
    </row>
    <row r="12" spans="1:10" ht="24.95" customHeight="1">
      <c r="A12" s="1"/>
      <c r="B12" s="1"/>
      <c r="C12" s="1"/>
      <c r="D12" s="1"/>
      <c r="E12" s="1"/>
      <c r="F12" s="6"/>
      <c r="G12" s="1"/>
      <c r="H12" s="6"/>
      <c r="I12" s="1"/>
      <c r="J12" s="6"/>
    </row>
    <row r="13" spans="1:10" ht="30" customHeight="1">
      <c r="A13" s="20" t="s">
        <v>34</v>
      </c>
      <c r="B13" s="20"/>
      <c r="C13" s="20"/>
      <c r="D13" s="20"/>
      <c r="E13" s="20"/>
      <c r="F13" s="21"/>
      <c r="G13" s="20"/>
      <c r="H13" s="21">
        <f>SUM(H7:H11)</f>
        <v>25.62</v>
      </c>
      <c r="I13" s="20"/>
      <c r="J13" s="21">
        <f>SUM(J7:J11)</f>
        <v>18.569999999999997</v>
      </c>
    </row>
    <row r="14" spans="1:10" ht="24.9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24.95" customHeight="1">
      <c r="A15" s="11" t="s">
        <v>35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ht="24.95" customHeight="1">
      <c r="A16" s="11" t="s">
        <v>36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ht="24.95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conditionalFormatting sqref="A7:J11">
    <cfRule type="expression" dxfId="4" priority="1">
      <formula>$G7&gt;0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greaterThan" id="{00000000-000E-0000-0200-000002000000}">
            <xm:f>Setup!$B$7</xm:f>
            <x14:dxf>
              <font>
                <b/>
                <color rgb="FFA4262C"/>
              </font>
              <fill>
                <patternFill patternType="solid">
                  <bgColor rgb="FFFCE8E6"/>
                </patternFill>
              </fill>
            </x14:dxf>
          </x14:cfRule>
          <xm:sqref>H13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43B35"/>
  </sheetPr>
  <dimension ref="A1:H33"/>
  <sheetViews>
    <sheetView showGridLines="0" workbookViewId="0"/>
  </sheetViews>
  <sheetFormatPr defaultRowHeight="14.25"/>
  <cols>
    <col min="1" max="1" width="30" customWidth="1"/>
    <col min="2" max="2" width="18" customWidth="1"/>
    <col min="3" max="3" width="4" customWidth="1"/>
    <col min="4" max="4" width="29" customWidth="1"/>
    <col min="5" max="5" width="19" customWidth="1"/>
    <col min="6" max="6" width="4" customWidth="1"/>
    <col min="7" max="7" width="22" customWidth="1"/>
    <col min="8" max="8" width="19" customWidth="1"/>
  </cols>
  <sheetData>
    <row r="1" spans="1:8" ht="24.95" customHeight="1">
      <c r="A1" s="1"/>
      <c r="B1" s="1"/>
      <c r="C1" s="1"/>
      <c r="D1" s="1"/>
      <c r="E1" s="1"/>
      <c r="F1" s="1"/>
      <c r="G1" s="1"/>
      <c r="H1" s="1"/>
    </row>
    <row r="2" spans="1:8" ht="30" customHeight="1">
      <c r="A2" s="2" t="s">
        <v>37</v>
      </c>
      <c r="B2" s="1"/>
      <c r="C2" s="1"/>
      <c r="D2" s="1"/>
      <c r="E2" s="1"/>
      <c r="F2" s="1"/>
      <c r="G2" s="1"/>
      <c r="H2" s="1"/>
    </row>
    <row r="3" spans="1:8" ht="8.1" customHeight="1">
      <c r="A3" s="3"/>
      <c r="B3" s="3"/>
      <c r="C3" s="3"/>
      <c r="D3" s="3"/>
      <c r="E3" s="3"/>
      <c r="F3" s="3"/>
      <c r="G3" s="3"/>
      <c r="H3" s="3"/>
    </row>
    <row r="4" spans="1:8" ht="24.95" customHeight="1">
      <c r="A4" s="1"/>
      <c r="B4" s="1"/>
      <c r="C4" s="1"/>
      <c r="D4" s="1"/>
      <c r="E4" s="1"/>
      <c r="F4" s="1"/>
      <c r="G4" s="1"/>
      <c r="H4" s="1"/>
    </row>
    <row r="5" spans="1:8" ht="24.95" customHeight="1">
      <c r="A5" s="1" t="s">
        <v>2</v>
      </c>
      <c r="B5" s="22">
        <f>Setup!B6</f>
        <v>6</v>
      </c>
      <c r="C5" s="1"/>
      <c r="D5" s="1" t="s">
        <v>38</v>
      </c>
      <c r="E5" s="23">
        <f>ShoppingList!H13</f>
        <v>25.62</v>
      </c>
      <c r="F5" s="1"/>
      <c r="G5" s="1"/>
      <c r="H5" s="1"/>
    </row>
    <row r="6" spans="1:8" ht="24.95" customHeight="1">
      <c r="A6" s="1" t="s">
        <v>19</v>
      </c>
      <c r="B6" s="23">
        <f>ShoppingList!J13</f>
        <v>18.569999999999997</v>
      </c>
      <c r="C6" s="1"/>
      <c r="D6" s="1" t="s">
        <v>4</v>
      </c>
      <c r="E6" s="23">
        <f>Setup!B7</f>
        <v>20</v>
      </c>
      <c r="F6" s="1"/>
      <c r="G6" s="1"/>
      <c r="H6" s="1"/>
    </row>
    <row r="7" spans="1:8" ht="24.95" customHeight="1">
      <c r="A7" s="1" t="s">
        <v>39</v>
      </c>
      <c r="B7" s="23">
        <f>B6/B5</f>
        <v>3.0949999999999993</v>
      </c>
      <c r="C7" s="1"/>
      <c r="D7" s="1" t="s">
        <v>40</v>
      </c>
      <c r="E7" s="23">
        <f>E6-E5</f>
        <v>-5.620000000000001</v>
      </c>
      <c r="F7" s="1"/>
      <c r="G7" s="1"/>
      <c r="H7" s="1"/>
    </row>
    <row r="8" spans="1:8" ht="24.95" customHeight="1">
      <c r="A8" s="1"/>
      <c r="B8" s="1"/>
      <c r="C8" s="1"/>
      <c r="D8" s="1"/>
      <c r="E8" s="1"/>
      <c r="F8" s="1"/>
      <c r="G8" s="1"/>
      <c r="H8" s="1"/>
    </row>
    <row r="9" spans="1:8" ht="24.95" customHeight="1">
      <c r="A9" s="1"/>
      <c r="B9" s="1"/>
      <c r="C9" s="1"/>
      <c r="D9" s="1" t="s">
        <v>41</v>
      </c>
      <c r="E9" s="4" t="str">
        <f>IF(E5&lt;=E6,"Within budget","Over budget")</f>
        <v>Over budget</v>
      </c>
      <c r="F9" s="1"/>
      <c r="G9" s="1"/>
      <c r="H9" s="1"/>
    </row>
    <row r="10" spans="1:8" ht="24.95" customHeight="1">
      <c r="A10" s="1"/>
      <c r="B10" s="1"/>
      <c r="C10" s="1"/>
      <c r="D10" s="1"/>
      <c r="E10" s="1"/>
      <c r="F10" s="1"/>
      <c r="G10" s="1"/>
      <c r="H10" s="1"/>
    </row>
    <row r="11" spans="1:8" ht="24.95" customHeight="1">
      <c r="A11" s="11" t="s">
        <v>42</v>
      </c>
      <c r="B11" s="1"/>
      <c r="C11" s="1"/>
      <c r="D11" s="1"/>
      <c r="E11" s="1"/>
      <c r="F11" s="1"/>
      <c r="G11" s="1"/>
      <c r="H11" s="1"/>
    </row>
    <row r="12" spans="1:8" ht="24.95" customHeight="1">
      <c r="A12" s="1"/>
      <c r="B12" s="1"/>
      <c r="C12" s="1"/>
      <c r="D12" s="1"/>
      <c r="E12" s="1"/>
      <c r="F12" s="1"/>
      <c r="G12" s="1"/>
      <c r="H12" s="1"/>
    </row>
    <row r="13" spans="1:8" ht="24.95" customHeight="1">
      <c r="A13" s="1"/>
      <c r="B13" s="1"/>
      <c r="C13" s="1"/>
      <c r="D13" s="1"/>
      <c r="E13" s="1"/>
      <c r="F13" s="1"/>
      <c r="G13" s="1"/>
      <c r="H13" s="1"/>
    </row>
    <row r="14" spans="1:8" ht="24.95" customHeight="1">
      <c r="A14" s="1"/>
      <c r="B14" s="1"/>
      <c r="C14" s="1"/>
      <c r="D14" s="1"/>
      <c r="E14" s="1"/>
      <c r="F14" s="1"/>
      <c r="G14" s="1"/>
      <c r="H14" s="1"/>
    </row>
    <row r="15" spans="1:8" ht="24.95" customHeight="1">
      <c r="A15" s="1"/>
      <c r="B15" s="1"/>
      <c r="C15" s="1"/>
      <c r="D15" s="1"/>
      <c r="E15" s="1"/>
      <c r="F15" s="1"/>
      <c r="G15" s="1"/>
      <c r="H15" s="1"/>
    </row>
    <row r="16" spans="1:8" ht="24.95" customHeight="1">
      <c r="A16" s="1"/>
      <c r="B16" s="1"/>
      <c r="C16" s="1"/>
      <c r="D16" s="1"/>
      <c r="E16" s="1"/>
      <c r="F16" s="1"/>
      <c r="G16" s="1"/>
      <c r="H16" s="1"/>
    </row>
    <row r="17" spans="1:8" ht="24.95" customHeight="1">
      <c r="A17" s="1"/>
      <c r="B17" s="1"/>
      <c r="C17" s="1"/>
      <c r="D17" s="1"/>
      <c r="E17" s="1"/>
      <c r="F17" s="1"/>
      <c r="G17" s="1"/>
      <c r="H17" s="1"/>
    </row>
    <row r="18" spans="1:8" ht="24.95" customHeight="1">
      <c r="A18" s="1"/>
      <c r="B18" s="1"/>
      <c r="C18" s="1"/>
      <c r="D18" s="1"/>
      <c r="E18" s="1"/>
      <c r="F18" s="1"/>
      <c r="G18" s="1"/>
      <c r="H18" s="1"/>
    </row>
    <row r="19" spans="1:8" ht="24.95" customHeight="1">
      <c r="A19" s="1"/>
      <c r="B19" s="1"/>
      <c r="C19" s="1"/>
      <c r="D19" s="1"/>
      <c r="E19" s="1"/>
      <c r="F19" s="1"/>
      <c r="G19" s="1"/>
      <c r="H19" s="1"/>
    </row>
    <row r="20" spans="1:8" ht="24.95" customHeight="1">
      <c r="A20" s="1"/>
      <c r="B20" s="1"/>
      <c r="C20" s="1"/>
      <c r="D20" s="1"/>
      <c r="E20" s="1"/>
      <c r="F20" s="1"/>
      <c r="G20" s="1"/>
      <c r="H20" s="1"/>
    </row>
    <row r="21" spans="1:8" ht="24.95" customHeight="1">
      <c r="A21" s="1"/>
      <c r="B21" s="1"/>
      <c r="C21" s="1"/>
      <c r="D21" s="1"/>
      <c r="E21" s="1"/>
      <c r="F21" s="1"/>
      <c r="G21" s="1"/>
      <c r="H21" s="1"/>
    </row>
    <row r="22" spans="1:8" ht="24.95" customHeight="1">
      <c r="A22" s="1"/>
      <c r="B22" s="1"/>
      <c r="C22" s="1"/>
      <c r="D22" s="1"/>
      <c r="E22" s="1"/>
      <c r="F22" s="1"/>
      <c r="G22" s="1"/>
      <c r="H22" s="1"/>
    </row>
    <row r="23" spans="1:8" ht="24.95" customHeight="1">
      <c r="A23" s="1"/>
      <c r="B23" s="1"/>
      <c r="C23" s="1"/>
      <c r="D23" s="1"/>
      <c r="E23" s="1"/>
      <c r="F23" s="1"/>
      <c r="G23" s="1"/>
      <c r="H23" s="1"/>
    </row>
    <row r="24" spans="1:8" ht="24.95" customHeight="1">
      <c r="A24" s="1"/>
      <c r="B24" s="1"/>
      <c r="C24" s="1"/>
      <c r="D24" s="1"/>
      <c r="E24" s="1"/>
      <c r="F24" s="1"/>
      <c r="G24" s="1"/>
      <c r="H24" s="1"/>
    </row>
    <row r="25" spans="1:8" ht="24.95" customHeight="1">
      <c r="A25" s="1"/>
      <c r="B25" s="1"/>
      <c r="C25" s="1"/>
      <c r="D25" s="1"/>
      <c r="E25" s="1"/>
      <c r="F25" s="1"/>
      <c r="G25" s="1"/>
      <c r="H25" s="1"/>
    </row>
    <row r="26" spans="1:8" ht="24.95" customHeight="1">
      <c r="A26" s="1"/>
      <c r="B26" s="1"/>
      <c r="C26" s="1"/>
      <c r="D26" s="1"/>
      <c r="E26" s="1"/>
      <c r="F26" s="1"/>
      <c r="G26" s="1"/>
      <c r="H26" s="1"/>
    </row>
    <row r="27" spans="1:8" ht="24.95" customHeight="1">
      <c r="A27" s="1"/>
      <c r="B27" s="1"/>
      <c r="C27" s="1"/>
      <c r="D27" s="1"/>
      <c r="E27" s="1"/>
      <c r="F27" s="1"/>
      <c r="G27" s="1"/>
      <c r="H27" s="1"/>
    </row>
    <row r="28" spans="1:8" ht="24.95" customHeight="1">
      <c r="A28" s="1"/>
      <c r="B28" s="1"/>
      <c r="C28" s="1"/>
      <c r="D28" s="1"/>
      <c r="E28" s="1"/>
      <c r="F28" s="1"/>
      <c r="G28" s="1"/>
      <c r="H28" s="1"/>
    </row>
    <row r="29" spans="1:8" ht="24.95" customHeight="1">
      <c r="A29" s="1"/>
      <c r="B29" s="1"/>
      <c r="C29" s="1"/>
      <c r="D29" s="1"/>
      <c r="E29" s="1"/>
      <c r="F29" s="1"/>
      <c r="G29" s="1"/>
      <c r="H29" s="1"/>
    </row>
    <row r="30" spans="1:8" ht="24.95" customHeight="1">
      <c r="A30" s="1"/>
      <c r="B30" s="1"/>
      <c r="C30" s="1"/>
      <c r="D30" s="1"/>
      <c r="E30" s="1"/>
      <c r="F30" s="1"/>
      <c r="G30" s="1"/>
      <c r="H30" s="1"/>
    </row>
    <row r="31" spans="1:8" ht="24.95" customHeight="1">
      <c r="A31" s="1"/>
      <c r="B31" s="1"/>
      <c r="C31" s="1"/>
      <c r="D31" s="1"/>
      <c r="E31" s="1"/>
      <c r="F31" s="1"/>
      <c r="G31" s="1"/>
      <c r="H31" s="1"/>
    </row>
    <row r="32" spans="1:8" ht="24.95" customHeight="1">
      <c r="A32" s="1"/>
      <c r="B32" s="1"/>
      <c r="C32" s="1"/>
      <c r="D32" s="1"/>
      <c r="E32" s="1"/>
      <c r="F32" s="1"/>
      <c r="G32" s="1"/>
      <c r="H32" s="1"/>
    </row>
    <row r="33" spans="1:8" ht="24.95" customHeight="1">
      <c r="A33" s="1"/>
      <c r="B33" s="1"/>
      <c r="C33" s="1"/>
      <c r="D33" s="1"/>
      <c r="E33" s="1"/>
      <c r="F33" s="1"/>
      <c r="G33" s="1"/>
      <c r="H33" s="1"/>
    </row>
  </sheetData>
  <conditionalFormatting sqref="E5">
    <cfRule type="expression" dxfId="2" priority="1">
      <formula>E5&gt;E6</formula>
    </cfRule>
  </conditionalFormatting>
  <conditionalFormatting sqref="E7">
    <cfRule type="cellIs" dxfId="1" priority="2" operator="lessThan">
      <formula>0</formula>
    </cfRule>
  </conditionalFormatting>
  <conditionalFormatting sqref="E9">
    <cfRule type="expression" dxfId="0" priority="3">
      <formula>E5&gt;E6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2026-10-03T08:28:59Z</dcterms:modified>
</cp:coreProperties>
</file>