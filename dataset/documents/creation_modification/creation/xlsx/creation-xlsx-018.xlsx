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cf6bd7780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1272106d933a4570"/>
    <x:sheet xmlns:r="http://schemas.openxmlformats.org/officeDocument/2006/relationships" name="Ingredients" sheetId="2" r:id="Re756589b23fc44a0"/>
    <x:sheet xmlns:r="http://schemas.openxmlformats.org/officeDocument/2006/relationships" name="ShoppingList" sheetId="3" r:id="Rdc60a34661184cd2"/>
    <x:sheet xmlns:r="http://schemas.openxmlformats.org/officeDocument/2006/relationships" name="Dashboard" sheetId="4" r:id="R1796f1773145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$0.00"/>
    <x:numFmt numFmtId="201" formatCode="0.0"/>
    <x:numFmt numFmtId="202" formatCode="0"/>
  </x:numFmts>
  <x:fonts count="5">
    <x:font>
      <x:sz val="11"/>
      <x:name val="Carlito"/>
    </x:font>
    <x:font>
      <x:sz val="11"/>
      <x:name val="Arial"/>
    </x:font>
    <x:font>
      <x:b/>
      <x:sz val="16"/>
      <x:color rgb="FF293D50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D50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E4EFDC"/>
        </x:patternFill>
      </x:fill>
    </x:dxf>
    <x:dxf>
      <x:font>
        <x:b/>
        <x:color rgb="FFA12821"/>
      </x:font>
      <x:fill>
        <x:patternFill patternType="solid">
          <x:bgColor rgb="FFFCE0DC"/>
        </x:patternFill>
      </x:fill>
    </x:dxf>
    <x:dxf>
      <x:font>
        <x:b/>
        <x:color rgb="FFA12821"/>
      </x:font>
      <x:fill>
        <x:patternFill patternType="solid">
          <x:bgColor rgb="FFFCE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137ad019e45da" /><Relationship Type="http://schemas.openxmlformats.org/officeDocument/2006/relationships/theme" Target="/xl/theme/theme1.xml" Id="Rad44e08f72ec4558" /><Relationship Type="http://schemas.openxmlformats.org/officeDocument/2006/relationships/sharedStrings" Target="/xl/sharedStrings.xml" Id="R4e951abe5db4444d" /><Relationship Type="http://schemas.openxmlformats.org/officeDocument/2006/relationships/worksheet" Target="/xl/worksheets/sheet1.xml" Id="R1272106d933a4570" /><Relationship Type="http://schemas.openxmlformats.org/officeDocument/2006/relationships/worksheet" Target="/xl/worksheets/sheet2.xml" Id="Re756589b23fc44a0" /><Relationship Type="http://schemas.openxmlformats.org/officeDocument/2006/relationships/worksheet" Target="/xl/worksheets/sheet3.xml" Id="Rdc60a34661184cd2" /><Relationship Type="http://schemas.openxmlformats.org/officeDocument/2006/relationships/worksheet" Target="/xl/worksheets/sheet4.xml" Id="R1796f17731454a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4140ecdebf4aa3" /><Relationship Type="http://schemas.openxmlformats.org/officeDocument/2006/relationships/chart" Target="/xl/drawings/charts/chart2.xml" Id="R1fe4fa32992c4a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Purchase cost by ingredient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66855B"/>
            </a:solidFill>
          </c:spPr>
          <c:cat>
            <c:strRef>
              <c:f>'ShoppingList'!$A$6:$A$10</c:f>
              <c:strCache>
                <c:ptCount val="0"/>
              </c:strCache>
            </c:strRef>
          </c:cat>
          <c:val>
            <c:numRef>
              <c:f>'ShoppingList'!$H$6:$H$10</c:f>
              <c:numCache>
                <c:formatCode>$#,##0.00;[Red]($#,##0.00);$0.00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Share of used-ingredient cost</a:t>
            </a:r>
          </a:p>
        </c:rich>
      </c:tx>
      <c:overlay val="0"/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'Ingredients'!$A$6:$A$10</c:f>
              <c:strCache>
                <c:ptCount val="0"/>
              </c:strCache>
            </c:strRef>
          </c:cat>
          <c:val>
            <c:numRef>
              <c:f>'Ingredients'!$G$6:$G$10</c:f>
              <c:numCache>
                <c:formatCode>$#,##0.00;[Red]($#,##0.00);$0.00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4140ecdebf4aa3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e4fa32992c4a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ipeIngredients" displayName="RecipeIngredients" ref="A5:G10" headerRowCount="1" totalsRowCount="0" totalsRowShown="0">
  <x:autoFilter ref="A5:G10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a9f17afcc4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0df8ea372f947bb" /></Relationships>
</file>

<file path=xl/worksheets/sheet1.xml><?xml version="1.0" encoding="utf-8"?>
<x:worksheet xmlns:x="http://schemas.openxmlformats.org/spreadsheetml/2006/main">
  <x:sheetPr>
    <x:tabColor rgb="FFD7AD4B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6" t="str">
        <x:v>Setting</x:v>
      </x:c>
      <x:c r="B4" s="6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Base recipe servings</x:v>
      </x:c>
      <x:c r="B5" s="1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Desired servings</x:v>
      </x:c>
      <x:c r="B6" s="7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Shopping budget (USD)</x:v>
      </x:c>
      <x:c r="B7" s="8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Yellow cells are editable planning inputs.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 t="str">
        <x:v>All quantities are in grams. Egg yolks exclude shells and whites.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type="whole" errorStyle="stop" operator="between" showErrorMessage="1" errorTitle="Invalid servings" error="Enter a whole number from 1 to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Recipe and pantry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Source: user-provided illustrative quantities and prices (USD).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8" customHeight="1">
      <x:c r="A5" s="6" t="str">
        <x:v>Ingredient</x:v>
      </x:c>
      <x:c r="B5" s="6" t="str">
        <x:v>Base quantity (g)</x:v>
      </x:c>
      <x:c r="C5" s="6" t="str">
        <x:v>Stock available (g)</x:v>
      </x:c>
      <x:c r="D5" s="6" t="str">
        <x:v>Package size (g)</x:v>
      </x:c>
      <x:c r="E5" s="6" t="str">
        <x:v>Package price (USD)</x:v>
      </x:c>
      <x:c r="F5" s="6" t="str">
        <x:v>Required quantity (g)</x:v>
      </x:c>
      <x:c r="G5" s="6" t="str">
        <x:v>Used-ingredient cost (USD)</x:v>
      </x:c>
      <x:c r="H5" s="1"/>
      <x:c r="I5" s="1"/>
      <x:c r="J5" s="1"/>
      <x:c r="K5" s="1"/>
      <x:c r="L5" s="1"/>
    </x:row>
    <x:row r="6" ht="24" customHeight="1">
      <x:c r="A6" s="1" t="str">
        <x:v>Spaghetti (dry)</x:v>
      </x:c>
      <x:c r="B6" s="9" t="n">
        <x:v>200</x:v>
      </x:c>
      <x:c r="C6" s="9" t="n">
        <x:v>100</x:v>
      </x:c>
      <x:c r="D6" s="9" t="n">
        <x:v>500</x:v>
      </x:c>
      <x:c r="E6" s="8" t="n">
        <x:v>2.5</x:v>
      </x:c>
      <x:c r="F6" s="10" t="n">
        <x:f>B6*Setup!$B$6/Setup!$B$5</x:f>
        <x:v>600</x:v>
      </x:c>
      <x:c r="G6" s="11" t="n">
        <x:f>F6/D6*E6</x:f>
        <x:v>3</x:v>
      </x:c>
      <x:c r="H6" s="1"/>
      <x:c r="I6" s="1"/>
      <x:c r="J6" s="1"/>
      <x:c r="K6" s="1"/>
      <x:c r="L6" s="1"/>
    </x:row>
    <x:row r="7" ht="24" customHeight="1">
      <x:c r="A7" s="1" t="str">
        <x:v>Guanciale</x:v>
      </x:c>
      <x:c r="B7" s="9" t="n">
        <x:v>80</x:v>
      </x:c>
      <x:c r="C7" s="9" t="n">
        <x:v>20</x:v>
      </x:c>
      <x:c r="D7" s="9" t="n">
        <x:v>100</x:v>
      </x:c>
      <x:c r="E7" s="8" t="n">
        <x:v>4</x:v>
      </x:c>
      <x:c r="F7" s="10" t="n">
        <x:f>B7*Setup!$B$6/Setup!$B$5</x:f>
        <x:v>240</x:v>
      </x:c>
      <x:c r="G7" s="11" t="n">
        <x:f>F7/D7*E7</x:f>
        <x:v>9.6</x:v>
      </x:c>
      <x:c r="H7" s="1"/>
      <x:c r="I7" s="1"/>
      <x:c r="J7" s="1"/>
      <x:c r="K7" s="1"/>
      <x:c r="L7" s="1"/>
    </x:row>
    <x:row r="8" ht="24" customHeight="1">
      <x:c r="A8" s="1" t="str">
        <x:v>Egg yolks</x:v>
      </x:c>
      <x:c r="B8" s="9" t="n">
        <x:v>36</x:v>
      </x:c>
      <x:c r="C8" s="9" t="n">
        <x:v>0</x:v>
      </x:c>
      <x:c r="D8" s="9" t="n">
        <x:v>36</x:v>
      </x:c>
      <x:c r="E8" s="8" t="n">
        <x:v>0.54</x:v>
      </x:c>
      <x:c r="F8" s="10" t="n">
        <x:f>B8*Setup!$B$6/Setup!$B$5</x:f>
        <x:v>108</x:v>
      </x:c>
      <x:c r="G8" s="11" t="n">
        <x:f>F8/D8*E8</x:f>
        <x:v>1.62</x:v>
      </x:c>
      <x:c r="H8" s="1"/>
      <x:c r="I8" s="1"/>
      <x:c r="J8" s="1"/>
      <x:c r="K8" s="1"/>
      <x:c r="L8" s="1"/>
    </x:row>
    <x:row r="9" ht="24" customHeight="1">
      <x:c r="A9" s="1" t="str">
        <x:v>Pecorino Romano</x:v>
      </x:c>
      <x:c r="B9" s="9" t="n">
        <x:v>40</x:v>
      </x:c>
      <x:c r="C9" s="9" t="n">
        <x:v>10</x:v>
      </x:c>
      <x:c r="D9" s="9" t="n">
        <x:v>100</x:v>
      </x:c>
      <x:c r="E9" s="8" t="n">
        <x:v>3.5</x:v>
      </x:c>
      <x:c r="F9" s="10" t="n">
        <x:f>B9*Setup!$B$6/Setup!$B$5</x:f>
        <x:v>120</x:v>
      </x:c>
      <x:c r="G9" s="11" t="n">
        <x:f>F9/D9*E9</x:f>
        <x:v>4.2</x:v>
      </x:c>
      <x:c r="H9" s="1"/>
      <x:c r="I9" s="1"/>
      <x:c r="J9" s="1"/>
      <x:c r="K9" s="1"/>
      <x:c r="L9" s="1"/>
    </x:row>
    <x:row r="10" ht="24" customHeight="1">
      <x:c r="A10" s="1" t="str">
        <x:v>Black pepper</x:v>
      </x:c>
      <x:c r="B10" s="9" t="n">
        <x:v>1</x:v>
      </x:c>
      <x:c r="C10" s="9" t="n">
        <x:v>2</x:v>
      </x:c>
      <x:c r="D10" s="9" t="n">
        <x:v>50</x:v>
      </x:c>
      <x:c r="E10" s="8" t="n">
        <x:v>2.5</x:v>
      </x:c>
      <x:c r="F10" s="10" t="n">
        <x:f>B10*Setup!$B$6/Setup!$B$5</x:f>
        <x:v>3</x:v>
      </x:c>
      <x:c r="G10" s="11" t="n">
        <x:f>F10/D10*E10</x:f>
        <x:v>0.15</x:v>
      </x:c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0aa9f17afcc443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Desired servings</x:v>
      </x:c>
      <x:c r="B3" s="1" t="n">
        <x:f>Setup!B6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8" customHeight="1">
      <x:c r="A5" s="6" t="str">
        <x:v>Ingredient</x:v>
      </x:c>
      <x:c r="B5" s="6" t="str">
        <x:v>Required (g)</x:v>
      </x:c>
      <x:c r="C5" s="6" t="str">
        <x:v>Stock (g)</x:v>
      </x:c>
      <x:c r="D5" s="6" t="str">
        <x:v>Additional needed (g)</x:v>
      </x:c>
      <x:c r="E5" s="6" t="str">
        <x:v>Package size (g)</x:v>
      </x:c>
      <x:c r="F5" s="6" t="str">
        <x:v>Package price (USD)</x:v>
      </x:c>
      <x:c r="G5" s="6" t="str">
        <x:v>Packages to buy</x:v>
      </x:c>
      <x:c r="H5" s="6" t="str">
        <x:v>Purchase cost (USD)</x:v>
      </x:c>
      <x:c r="I5" s="6" t="str">
        <x:v>Stock after cooking (g)</x:v>
      </x:c>
      <x:c r="J5" s="6" t="str">
        <x:v>Used-ingredient cost (USD)</x:v>
      </x:c>
      <x:c r="K5" s="1"/>
      <x:c r="L5" s="1"/>
    </x:row>
    <x:row r="6" ht="24" customHeight="1">
      <x:c r="A6" s="1" t="str">
        <x:f>Ingredients!A6</x:f>
        <x:v>Spaghetti (dry)</x:v>
      </x:c>
      <x:c r="B6" s="10" t="n">
        <x:f>Ingredients!F6</x:f>
        <x:v>600</x:v>
      </x:c>
      <x:c r="C6" s="10" t="n">
        <x:f>Ingredients!C6</x:f>
        <x:v>100</x:v>
      </x:c>
      <x:c r="D6" s="10" t="n">
        <x:f>MAX(0,B6-C6)</x:f>
        <x:v>500</x:v>
      </x:c>
      <x:c r="E6" s="10" t="n">
        <x:f>Ingredients!D6</x:f>
        <x:v>500</x:v>
      </x:c>
      <x:c r="F6" s="11" t="n">
        <x:f>Ingredients!E6</x:f>
        <x:v>2.5</x:v>
      </x:c>
      <x:c r="G6" s="12" t="n">
        <x:f>ROUNDUP(D6/E6,0)</x:f>
        <x:v>1</x:v>
      </x:c>
      <x:c r="H6" s="11" t="n">
        <x:f>G6*F6</x:f>
        <x:v>2.5</x:v>
      </x:c>
      <x:c r="I6" s="10" t="n">
        <x:f>C6+G6*E6-B6</x:f>
        <x:v>0</x:v>
      </x:c>
      <x:c r="J6" s="11" t="n">
        <x:f>Ingredients!G6</x:f>
        <x:v>3</x:v>
      </x:c>
      <x:c r="K6" s="1"/>
      <x:c r="L6" s="1"/>
    </x:row>
    <x:row r="7" ht="24" customHeight="1">
      <x:c r="A7" s="1" t="str">
        <x:f>Ingredients!A7</x:f>
        <x:v>Guanciale</x:v>
      </x:c>
      <x:c r="B7" s="10" t="n">
        <x:f>Ingredients!F7</x:f>
        <x:v>240</x:v>
      </x:c>
      <x:c r="C7" s="10" t="n">
        <x:f>Ingredients!C7</x:f>
        <x:v>20</x:v>
      </x:c>
      <x:c r="D7" s="10" t="n">
        <x:f>MAX(0,B7-C7)</x:f>
        <x:v>220</x:v>
      </x:c>
      <x:c r="E7" s="10" t="n">
        <x:f>Ingredients!D7</x:f>
        <x:v>100</x:v>
      </x:c>
      <x:c r="F7" s="11" t="n">
        <x:f>Ingredients!E7</x:f>
        <x:v>4</x:v>
      </x:c>
      <x:c r="G7" s="12" t="n">
        <x:f>ROUNDUP(D7/E7,0)</x:f>
        <x:v>3</x:v>
      </x:c>
      <x:c r="H7" s="11" t="n">
        <x:f>G7*F7</x:f>
        <x:v>12</x:v>
      </x:c>
      <x:c r="I7" s="10" t="n">
        <x:f>C7+G7*E7-B7</x:f>
        <x:v>80</x:v>
      </x:c>
      <x:c r="J7" s="11" t="n">
        <x:f>Ingredients!G7</x:f>
        <x:v>9.6</x:v>
      </x:c>
      <x:c r="K7" s="1"/>
      <x:c r="L7" s="1"/>
    </x:row>
    <x:row r="8" ht="24" customHeight="1">
      <x:c r="A8" s="1" t="str">
        <x:f>Ingredients!A8</x:f>
        <x:v>Egg yolks</x:v>
      </x:c>
      <x:c r="B8" s="10" t="n">
        <x:f>Ingredients!F8</x:f>
        <x:v>108</x:v>
      </x:c>
      <x:c r="C8" s="10" t="n">
        <x:f>Ingredients!C8</x:f>
        <x:v>0</x:v>
      </x:c>
      <x:c r="D8" s="10" t="n">
        <x:f>MAX(0,B8-C8)</x:f>
        <x:v>108</x:v>
      </x:c>
      <x:c r="E8" s="10" t="n">
        <x:f>Ingredients!D8</x:f>
        <x:v>36</x:v>
      </x:c>
      <x:c r="F8" s="11" t="n">
        <x:f>Ingredients!E8</x:f>
        <x:v>0.54</x:v>
      </x:c>
      <x:c r="G8" s="12" t="n">
        <x:f>ROUNDUP(D8/E8,0)</x:f>
        <x:v>3</x:v>
      </x:c>
      <x:c r="H8" s="11" t="n">
        <x:f>G8*F8</x:f>
        <x:v>1.62</x:v>
      </x:c>
      <x:c r="I8" s="10" t="n">
        <x:f>C8+G8*E8-B8</x:f>
        <x:v>0</x:v>
      </x:c>
      <x:c r="J8" s="11" t="n">
        <x:f>Ingredients!G8</x:f>
        <x:v>1.62</x:v>
      </x:c>
      <x:c r="K8" s="1"/>
      <x:c r="L8" s="1"/>
    </x:row>
    <x:row r="9" ht="24" customHeight="1">
      <x:c r="A9" s="1" t="str">
        <x:f>Ingredients!A9</x:f>
        <x:v>Pecorino Romano</x:v>
      </x:c>
      <x:c r="B9" s="10" t="n">
        <x:f>Ingredients!F9</x:f>
        <x:v>120</x:v>
      </x:c>
      <x:c r="C9" s="10" t="n">
        <x:f>Ingredients!C9</x:f>
        <x:v>10</x:v>
      </x:c>
      <x:c r="D9" s="10" t="n">
        <x:f>MAX(0,B9-C9)</x:f>
        <x:v>110</x:v>
      </x:c>
      <x:c r="E9" s="10" t="n">
        <x:f>Ingredients!D9</x:f>
        <x:v>100</x:v>
      </x:c>
      <x:c r="F9" s="11" t="n">
        <x:f>Ingredients!E9</x:f>
        <x:v>3.5</x:v>
      </x:c>
      <x:c r="G9" s="12" t="n">
        <x:f>ROUNDUP(D9/E9,0)</x:f>
        <x:v>2</x:v>
      </x:c>
      <x:c r="H9" s="11" t="n">
        <x:f>G9*F9</x:f>
        <x:v>7</x:v>
      </x:c>
      <x:c r="I9" s="10" t="n">
        <x:f>C9+G9*E9-B9</x:f>
        <x:v>90</x:v>
      </x:c>
      <x:c r="J9" s="11" t="n">
        <x:f>Ingredients!G9</x:f>
        <x:v>4.2</x:v>
      </x:c>
      <x:c r="K9" s="1"/>
      <x:c r="L9" s="1"/>
    </x:row>
    <x:row r="10" ht="24" customHeight="1">
      <x:c r="A10" s="1" t="str">
        <x:f>Ingredients!A10</x:f>
        <x:v>Black pepper</x:v>
      </x:c>
      <x:c r="B10" s="10" t="n">
        <x:f>Ingredients!F10</x:f>
        <x:v>3</x:v>
      </x:c>
      <x:c r="C10" s="10" t="n">
        <x:f>Ingredients!C10</x:f>
        <x:v>2</x:v>
      </x:c>
      <x:c r="D10" s="10" t="n">
        <x:f>MAX(0,B10-C10)</x:f>
        <x:v>1</x:v>
      </x:c>
      <x:c r="E10" s="10" t="n">
        <x:f>Ingredients!D10</x:f>
        <x:v>50</x:v>
      </x:c>
      <x:c r="F10" s="11" t="n">
        <x:f>Ingredients!E10</x:f>
        <x:v>2.5</x:v>
      </x:c>
      <x:c r="G10" s="12" t="n">
        <x:f>ROUNDUP(D10/E10,0)</x:f>
        <x:v>1</x:v>
      </x:c>
      <x:c r="H10" s="11" t="n">
        <x:f>G10*F10</x:f>
        <x:v>2.5</x:v>
      </x:c>
      <x:c r="I10" s="10" t="n">
        <x:f>C10+G10*E10-B10</x:f>
        <x:v>49</x:v>
      </x:c>
      <x:c r="J10" s="11" t="n">
        <x:f>Ingredients!G10</x:f>
        <x:v>0.15</x:v>
      </x:c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1"/>
      <x:c r="I11" s="1"/>
      <x:c r="J11" s="11"/>
      <x:c r="K11" s="1"/>
      <x:c r="L11" s="1"/>
    </x:row>
    <x:row r="12" ht="24" customHeight="1">
      <x:c r="A12" s="13" t="str">
        <x:v>Totals</x:v>
      </x:c>
      <x:c r="B12" s="13"/>
      <x:c r="C12" s="13"/>
      <x:c r="D12" s="13"/>
      <x:c r="E12" s="13"/>
      <x:c r="F12" s="13"/>
      <x:c r="G12" s="13"/>
      <x:c r="H12" s="14" t="n">
        <x:f>SUM(H6:H10)</x:f>
        <x:v>25.62</x:v>
      </x:c>
      <x:c r="I12" s="13"/>
      <x:c r="J12" s="14" t="n">
        <x:f>SUM(J6:J10)</x:f>
        <x:v>18.569999999999997</x:v>
      </x:c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6:J10">
    <x:cfRule type="expression" dxfId="0" priority="1">
      <x:formula>$G6&gt;0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3D50"/>
  </x:sheetPr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6" t="str">
        <x:v>Meal plan</x:v>
      </x:c>
      <x:c r="B4" s="6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Desired servings</x:v>
      </x:c>
      <x:c r="B5" s="1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Used-ingredient cost</x:v>
      </x:c>
      <x:c r="B6" s="11" t="n">
        <x:f>ShoppingList!J12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Used cost per serving</x:v>
      </x:c>
      <x:c r="B7" s="11" t="n">
        <x:f>ROUND(ROUND(B6/B5,10),2)</x:f>
        <x:v>3.1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 t="str">
        <x:v>Total purchase cost</x:v>
      </x:c>
      <x:c r="B8" s="11" t="n">
        <x:f>ShoppingList!H12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Budget</x:v>
      </x:c>
      <x:c r="B9" s="11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Budget remaining</x:v>
      </x:c>
      <x:c r="B10" s="11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 t="str">
        <x:v>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d0df8ea372f947bb"/>
</x:worksheet>
</file>