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a44c8b51a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ff16ada1d4474fd9"/>
    <x:sheet xmlns:r="http://schemas.openxmlformats.org/officeDocument/2006/relationships" name="Ingredients" sheetId="2" r:id="R0147a2644de942f9"/>
    <x:sheet xmlns:r="http://schemas.openxmlformats.org/officeDocument/2006/relationships" name="ShoppingList" sheetId="3" r:id="Ra1ae3661a6e24dbc"/>
    <x:sheet xmlns:r="http://schemas.openxmlformats.org/officeDocument/2006/relationships" name="Dashboard" sheetId="4" r:id="Re65422a1b9d1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;[Red](&quot;$&quot;#,##0.00);&quot;$&quot;0.00"/>
    <x:numFmt numFmtId="201" formatCode="0.0"/>
    <x:numFmt numFmtId="202" formatCode="0"/>
    <x:numFmt numFmtId="203" formatCode="&quot;$&quot;#,##0.000;[Red](&quot;$&quot;#,##0.000);&quot;$&quot;0.00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74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6a76afed74470" /><Relationship Type="http://schemas.openxmlformats.org/officeDocument/2006/relationships/theme" Target="/xl/theme/theme1.xml" Id="R00f978942c6b4fb1" /><Relationship Type="http://schemas.openxmlformats.org/officeDocument/2006/relationships/sharedStrings" Target="/xl/sharedStrings.xml" Id="R99510f4edead4ef0" /><Relationship Type="http://schemas.openxmlformats.org/officeDocument/2006/relationships/worksheet" Target="/xl/worksheets/sheet1.xml" Id="Rff16ada1d4474fd9" /><Relationship Type="http://schemas.openxmlformats.org/officeDocument/2006/relationships/worksheet" Target="/xl/worksheets/sheet2.xml" Id="R0147a2644de942f9" /><Relationship Type="http://schemas.openxmlformats.org/officeDocument/2006/relationships/worksheet" Target="/xl/worksheets/sheet3.xml" Id="Ra1ae3661a6e24dbc" /><Relationship Type="http://schemas.openxmlformats.org/officeDocument/2006/relationships/worksheet" Target="/xl/worksheets/sheet4.xml" Id="Re65422a1b9d143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882e94023a43c9" /><Relationship Type="http://schemas.openxmlformats.org/officeDocument/2006/relationships/chart" Target="/xl/drawings/charts/chart2.xml" Id="R2521d9b93f1d47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</c:v>
          </c:tx>
          <c:spPr>
            <a:solidFill xmlns:a="http://schemas.openxmlformats.org/drawingml/2006/main">
              <a:srgbClr val="547998"/>
            </a:solidFill>
          </c:spPr>
          <c:cat>
            <c:strRef>
              <c:f>'ShoppingList'!$A$8:$A$12</c:f>
              <c:strCache>
                <c:ptCount val="0"/>
              </c:strCache>
            </c:strRef>
          </c:cat>
          <c:val>
            <c:numRef>
              <c:f>'ShoppingList'!$H$8:$H$12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</c:v>
          </c:tx>
          <c:cat>
            <c:strRef>
              <c:f>'Ingredients'!$A$8:$A$12</c:f>
              <c:strCache>
                <c:ptCount val="0"/>
              </c:strCache>
            </c:strRef>
          </c:cat>
          <c:val>
            <c:numRef>
              <c:f>'Ingredients'!$G$8:$G$12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882e94023a43c9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21d9b93f1d47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ipeIngredients" displayName="RecipeIngredients" ref="A7:G12" headerRowCount="1" totalsRowCount="0" totalsRowShown="0">
  <x:autoFilter ref="A7:G12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ff6bf5f4d3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ebaed28e1294b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6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Plan your carbonara meal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4" t="str">
        <x:v>Setting</x:v>
      </x:c>
      <x:c r="B4" s="14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Desired servings</x:v>
      </x:c>
      <x:c r="B6" s="3" t="n">
        <x:v>6</x:v>
      </x:c>
      <x:c r="C6" s="1" t="str">
        <x:v>Edit yellow cells. Desired servings must be 1–20.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Shopping budget (USD)</x:v>
      </x:c>
      <x:c r="B7" s="4" t="n">
        <x:v>20</x:v>
      </x:c>
      <x:c r="C7" s="1" t="str">
        <x:v>Budget must be zero or greater.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 t="str">
        <x:v>Edit recipe, stock, package sizes and prices on Ingredients.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1" t="str">
        <x:v>Used cost includes ingredients taken from pantry stock.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Recipe and pantry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Source: User-provided illustrative data. All quantities are grams.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Egg yolks exclude shells and whites. Yellow cells are editable inputs.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8" customHeight="1">
      <x:c r="A7" s="14" t="str">
        <x:v>Ingredient</x:v>
      </x:c>
      <x:c r="B7" s="14" t="str">
        <x:v>Base quantity (g)</x:v>
      </x:c>
      <x:c r="C7" s="14" t="str">
        <x:v>Stock available (g)</x:v>
      </x:c>
      <x:c r="D7" s="14" t="str">
        <x:v>Package size (g)</x:v>
      </x:c>
      <x:c r="E7" s="14" t="str">
        <x:v>Package price (USD)</x:v>
      </x:c>
      <x:c r="F7" s="14" t="str">
        <x:v>Required quantity (g)</x:v>
      </x:c>
      <x:c r="G7" s="14" t="str">
        <x:v>Used-ingredient cost (USD)</x:v>
      </x:c>
      <x:c r="H7" s="1"/>
      <x:c r="I7" s="1"/>
      <x:c r="J7" s="1"/>
      <x:c r="K7" s="1"/>
      <x:c r="L7" s="1"/>
    </x:row>
    <x:row r="8" ht="24" customHeight="1">
      <x:c r="A8" s="3" t="str">
        <x:v>Spaghetti (dry)</x:v>
      </x:c>
      <x:c r="B8" s="5" t="n">
        <x:v>200</x:v>
      </x:c>
      <x:c r="C8" s="5" t="n">
        <x:v>100</x:v>
      </x:c>
      <x:c r="D8" s="5" t="n">
        <x:v>500</x:v>
      </x:c>
      <x:c r="E8" s="4" t="n">
        <x:v>2.5</x:v>
      </x:c>
      <x:c r="F8" s="6" t="n">
        <x:f>B8*'Setup'!$B$6/'Setup'!$B$5</x:f>
        <x:v>600</x:v>
      </x:c>
      <x:c r="G8" s="7" t="n">
        <x:f>F8/D8*E8</x:f>
        <x:v>3</x:v>
      </x:c>
      <x:c r="H8" s="1"/>
      <x:c r="I8" s="1"/>
      <x:c r="J8" s="1"/>
      <x:c r="K8" s="1"/>
      <x:c r="L8" s="1"/>
    </x:row>
    <x:row r="9" ht="24" customHeight="1">
      <x:c r="A9" s="3" t="str">
        <x:v>Guanciale</x:v>
      </x:c>
      <x:c r="B9" s="5" t="n">
        <x:v>80</x:v>
      </x:c>
      <x:c r="C9" s="5" t="n">
        <x:v>20</x:v>
      </x:c>
      <x:c r="D9" s="5" t="n">
        <x:v>100</x:v>
      </x:c>
      <x:c r="E9" s="4" t="n">
        <x:v>4</x:v>
      </x:c>
      <x:c r="F9" s="6" t="n">
        <x:f>B9*'Setup'!$B$6/'Setup'!$B$5</x:f>
        <x:v>240</x:v>
      </x:c>
      <x:c r="G9" s="7" t="n">
        <x:f>F9/D9*E9</x:f>
        <x:v>9.6</x:v>
      </x:c>
      <x:c r="H9" s="1"/>
      <x:c r="I9" s="1"/>
      <x:c r="J9" s="1"/>
      <x:c r="K9" s="1"/>
      <x:c r="L9" s="1"/>
    </x:row>
    <x:row r="10" ht="24" customHeight="1">
      <x:c r="A10" s="3" t="str">
        <x:v>Egg yolks</x:v>
      </x:c>
      <x:c r="B10" s="5" t="n">
        <x:v>36</x:v>
      </x:c>
      <x:c r="C10" s="5" t="n">
        <x:v>0</x:v>
      </x:c>
      <x:c r="D10" s="5" t="n">
        <x:v>36</x:v>
      </x:c>
      <x:c r="E10" s="4" t="n">
        <x:v>0.54</x:v>
      </x:c>
      <x:c r="F10" s="6" t="n">
        <x:f>B10*'Setup'!$B$6/'Setup'!$B$5</x:f>
        <x:v>108</x:v>
      </x:c>
      <x:c r="G10" s="7" t="n">
        <x:f>F10/D10*E10</x:f>
        <x:v>1.62</x:v>
      </x:c>
      <x:c r="H10" s="1"/>
      <x:c r="I10" s="1"/>
      <x:c r="J10" s="1"/>
      <x:c r="K10" s="1"/>
      <x:c r="L10" s="1"/>
    </x:row>
    <x:row r="11" ht="24" customHeight="1">
      <x:c r="A11" s="3" t="str">
        <x:v>Pecorino Romano</x:v>
      </x:c>
      <x:c r="B11" s="5" t="n">
        <x:v>40</x:v>
      </x:c>
      <x:c r="C11" s="5" t="n">
        <x:v>10</x:v>
      </x:c>
      <x:c r="D11" s="5" t="n">
        <x:v>100</x:v>
      </x:c>
      <x:c r="E11" s="4" t="n">
        <x:v>3.5</x:v>
      </x:c>
      <x:c r="F11" s="6" t="n">
        <x:f>B11*'Setup'!$B$6/'Setup'!$B$5</x:f>
        <x:v>120</x:v>
      </x:c>
      <x:c r="G11" s="7" t="n">
        <x:f>F11/D11*E11</x:f>
        <x:v>4.2</x:v>
      </x:c>
      <x:c r="H11" s="1"/>
      <x:c r="I11" s="1"/>
      <x:c r="J11" s="1"/>
      <x:c r="K11" s="1"/>
      <x:c r="L11" s="1"/>
    </x:row>
    <x:row r="12" ht="24" customHeight="1">
      <x:c r="A12" s="3" t="str">
        <x:v>Black pepper</x:v>
      </x:c>
      <x:c r="B12" s="5" t="n">
        <x:v>1</x:v>
      </x:c>
      <x:c r="C12" s="5" t="n">
        <x:v>2</x:v>
      </x:c>
      <x:c r="D12" s="5" t="n">
        <x:v>50</x:v>
      </x:c>
      <x:c r="E12" s="4" t="n">
        <x:v>2.5</x:v>
      </x:c>
      <x:c r="F12" s="6" t="n">
        <x:f>B12*'Setup'!$B$6/'Setup'!$B$5</x:f>
        <x:v>3</x:v>
      </x:c>
      <x:c r="G12" s="7" t="n">
        <x:f>F12/D12*E12</x:f>
        <x:v>0.15</x:v>
      </x:c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pageMargins left="0.7" right="0.7" top="0.75" bottom="0.75" header="0.3" footer="0.3"/>
  <x:tableParts count="1">
    <x:tablePart xmlns:r="http://schemas.openxmlformats.org/officeDocument/2006/relationships" r:id="Rc8ff6bf5f4d34c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Desired servings</x:v>
      </x:c>
      <x:c r="B4" s="1" t="n">
        <x:f>'Setup'!B6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60" customHeight="1">
      <x:c r="A7" s="14" t="str">
        <x:v>Ingredient</x:v>
      </x:c>
      <x:c r="B7" s="14" t="str">
        <x:v>Required (g)</x:v>
      </x:c>
      <x:c r="C7" s="14" t="str">
        <x:v>Stock (g)</x:v>
      </x:c>
      <x:c r="D7" s="14" t="str">
        <x:v>Additional needed (g)</x:v>
      </x:c>
      <x:c r="E7" s="14" t="str">
        <x:v>Package size (g)</x:v>
      </x:c>
      <x:c r="F7" s="14" t="str">
        <x:v>Price per package (USD)</x:v>
      </x:c>
      <x:c r="G7" s="14" t="str">
        <x:v>Packages to buy</x:v>
      </x:c>
      <x:c r="H7" s="14" t="str">
        <x:v>Purchase cost (USD)</x:v>
      </x:c>
      <x:c r="I7" s="14" t="str">
        <x:v>Stock after cooking (g)</x:v>
      </x:c>
      <x:c r="J7" s="14" t="str">
        <x:v>Used-ingredient cost (USD)</x:v>
      </x:c>
      <x:c r="K7" s="1"/>
      <x:c r="L7" s="1"/>
    </x:row>
    <x:row r="8" ht="24" customHeight="1">
      <x:c r="A8" s="1" t="str">
        <x:f>'Ingredients'!A8</x:f>
        <x:v>Spaghetti (dry)</x:v>
      </x:c>
      <x:c r="B8" s="6" t="n">
        <x:f>'Ingredients'!F8</x:f>
        <x:v>600</x:v>
      </x:c>
      <x:c r="C8" s="6" t="n">
        <x:f>'Ingredients'!C8</x:f>
        <x:v>100</x:v>
      </x:c>
      <x:c r="D8" s="6" t="n">
        <x:f>MAX(0,B8-C8)</x:f>
        <x:v>500</x:v>
      </x:c>
      <x:c r="E8" s="6" t="n">
        <x:f>'Ingredients'!D8</x:f>
        <x:v>500</x:v>
      </x:c>
      <x:c r="F8" s="7" t="n">
        <x:f>'Ingredients'!E8</x:f>
        <x:v>2.5</x:v>
      </x:c>
      <x:c r="G8" s="8" t="n">
        <x:f>ROUNDUP(D8/E8,0)</x:f>
        <x:v>1</x:v>
      </x:c>
      <x:c r="H8" s="7" t="n">
        <x:f>G8*F8</x:f>
        <x:v>2.5</x:v>
      </x:c>
      <x:c r="I8" s="6" t="n">
        <x:f>C8+G8*E8-B8</x:f>
        <x:v>0</x:v>
      </x:c>
      <x:c r="J8" s="7" t="n">
        <x:f>'Ingredients'!G8</x:f>
        <x:v>3</x:v>
      </x:c>
      <x:c r="K8" s="1"/>
      <x:c r="L8" s="1"/>
    </x:row>
    <x:row r="9" ht="24" customHeight="1">
      <x:c r="A9" s="1" t="str">
        <x:f>'Ingredients'!A9</x:f>
        <x:v>Guanciale</x:v>
      </x:c>
      <x:c r="B9" s="6" t="n">
        <x:f>'Ingredients'!F9</x:f>
        <x:v>240</x:v>
      </x:c>
      <x:c r="C9" s="6" t="n">
        <x:f>'Ingredients'!C9</x:f>
        <x:v>20</x:v>
      </x:c>
      <x:c r="D9" s="6" t="n">
        <x:f>MAX(0,B9-C9)</x:f>
        <x:v>220</x:v>
      </x:c>
      <x:c r="E9" s="6" t="n">
        <x:f>'Ingredients'!D9</x:f>
        <x:v>100</x:v>
      </x:c>
      <x:c r="F9" s="7" t="n">
        <x:f>'Ingredients'!E9</x:f>
        <x:v>4</x:v>
      </x:c>
      <x:c r="G9" s="8" t="n">
        <x:f>ROUNDUP(D9/E9,0)</x:f>
        <x:v>3</x:v>
      </x:c>
      <x:c r="H9" s="7" t="n">
        <x:f>G9*F9</x:f>
        <x:v>12</x:v>
      </x:c>
      <x:c r="I9" s="6" t="n">
        <x:f>C9+G9*E9-B9</x:f>
        <x:v>80</x:v>
      </x:c>
      <x:c r="J9" s="7" t="n">
        <x:f>'Ingredients'!G9</x:f>
        <x:v>9.6</x:v>
      </x:c>
      <x:c r="K9" s="1"/>
      <x:c r="L9" s="1"/>
    </x:row>
    <x:row r="10" ht="24" customHeight="1">
      <x:c r="A10" s="1" t="str">
        <x:f>'Ingredients'!A10</x:f>
        <x:v>Egg yolks</x:v>
      </x:c>
      <x:c r="B10" s="6" t="n">
        <x:f>'Ingredients'!F10</x:f>
        <x:v>108</x:v>
      </x:c>
      <x:c r="C10" s="6" t="n">
        <x:f>'Ingredients'!C10</x:f>
        <x:v>0</x:v>
      </x:c>
      <x:c r="D10" s="6" t="n">
        <x:f>MAX(0,B10-C10)</x:f>
        <x:v>108</x:v>
      </x:c>
      <x:c r="E10" s="6" t="n">
        <x:f>'Ingredients'!D10</x:f>
        <x:v>36</x:v>
      </x:c>
      <x:c r="F10" s="7" t="n">
        <x:f>'Ingredients'!E10</x:f>
        <x:v>0.54</x:v>
      </x:c>
      <x:c r="G10" s="8" t="n">
        <x:f>ROUNDUP(D10/E10,0)</x:f>
        <x:v>3</x:v>
      </x:c>
      <x:c r="H10" s="7" t="n">
        <x:f>G10*F10</x:f>
        <x:v>1.62</x:v>
      </x:c>
      <x:c r="I10" s="6" t="n">
        <x:f>C10+G10*E10-B10</x:f>
        <x:v>0</x:v>
      </x:c>
      <x:c r="J10" s="7" t="n">
        <x:f>'Ingredients'!G10</x:f>
        <x:v>1.62</x:v>
      </x:c>
      <x:c r="K10" s="1"/>
      <x:c r="L10" s="1"/>
    </x:row>
    <x:row r="11" ht="24" customHeight="1">
      <x:c r="A11" s="1" t="str">
        <x:f>'Ingredients'!A11</x:f>
        <x:v>Pecorino Romano</x:v>
      </x:c>
      <x:c r="B11" s="6" t="n">
        <x:f>'Ingredients'!F11</x:f>
        <x:v>120</x:v>
      </x:c>
      <x:c r="C11" s="6" t="n">
        <x:f>'Ingredients'!C11</x:f>
        <x:v>10</x:v>
      </x:c>
      <x:c r="D11" s="6" t="n">
        <x:f>MAX(0,B11-C11)</x:f>
        <x:v>110</x:v>
      </x:c>
      <x:c r="E11" s="6" t="n">
        <x:f>'Ingredients'!D11</x:f>
        <x:v>100</x:v>
      </x:c>
      <x:c r="F11" s="7" t="n">
        <x:f>'Ingredients'!E11</x:f>
        <x:v>3.5</x:v>
      </x:c>
      <x:c r="G11" s="8" t="n">
        <x:f>ROUNDUP(D11/E11,0)</x:f>
        <x:v>2</x:v>
      </x:c>
      <x:c r="H11" s="7" t="n">
        <x:f>G11*F11</x:f>
        <x:v>7</x:v>
      </x:c>
      <x:c r="I11" s="6" t="n">
        <x:f>C11+G11*E11-B11</x:f>
        <x:v>90</x:v>
      </x:c>
      <x:c r="J11" s="7" t="n">
        <x:f>'Ingredients'!G11</x:f>
        <x:v>4.2</x:v>
      </x:c>
      <x:c r="K11" s="1"/>
      <x:c r="L11" s="1"/>
    </x:row>
    <x:row r="12" ht="24" customHeight="1">
      <x:c r="A12" s="1" t="str">
        <x:f>'Ingredients'!A12</x:f>
        <x:v>Black pepper</x:v>
      </x:c>
      <x:c r="B12" s="6" t="n">
        <x:f>'Ingredients'!F12</x:f>
        <x:v>3</x:v>
      </x:c>
      <x:c r="C12" s="6" t="n">
        <x:f>'Ingredients'!C12</x:f>
        <x:v>2</x:v>
      </x:c>
      <x:c r="D12" s="6" t="n">
        <x:f>MAX(0,B12-C12)</x:f>
        <x:v>1</x:v>
      </x:c>
      <x:c r="E12" s="6" t="n">
        <x:f>'Ingredients'!D12</x:f>
        <x:v>50</x:v>
      </x:c>
      <x:c r="F12" s="7" t="n">
        <x:f>'Ingredients'!E12</x:f>
        <x:v>2.5</x:v>
      </x:c>
      <x:c r="G12" s="8" t="n">
        <x:f>ROUNDUP(D12/E12,0)</x:f>
        <x:v>1</x:v>
      </x:c>
      <x:c r="H12" s="7" t="n">
        <x:f>G12*F12</x:f>
        <x:v>2.5</x:v>
      </x:c>
      <x:c r="I12" s="6" t="n">
        <x:f>C12+G12*E12-B12</x:f>
        <x:v>49</x:v>
      </x:c>
      <x:c r="J12" s="7" t="n">
        <x:f>'Ingredients'!G12</x:f>
        <x:v>0.15</x:v>
      </x:c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7"/>
      <x:c r="I13" s="1"/>
      <x:c r="J13" s="7"/>
      <x:c r="K13" s="1"/>
      <x:c r="L13" s="1"/>
    </x:row>
    <x:row r="14" ht="24" customHeight="1">
      <x:c r="A14" s="15" t="str">
        <x:v>Total</x:v>
      </x:c>
      <x:c r="B14" s="15"/>
      <x:c r="C14" s="15"/>
      <x:c r="D14" s="15"/>
      <x:c r="E14" s="15"/>
      <x:c r="F14" s="15"/>
      <x:c r="G14" s="15"/>
      <x:c r="H14" s="16" t="n">
        <x:f>SUM(H8:H12)</x:f>
        <x:v>25.62</x:v>
      </x:c>
      <x:c r="I14" s="15"/>
      <x:c r="J14" s="16" t="n">
        <x:f>SUM(J8:J12)</x:f>
        <x:v>18.569999999999997</x:v>
      </x:c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conditionalFormatting sqref="A8:J12">
    <x:cfRule type="expression" dxfId="0" priority="1">
      <x:formula>$G8&gt;0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meal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4" t="str">
        <x:v>Meal summary</x:v>
      </x:c>
      <x:c r="B4" s="14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Desired servings</x:v>
      </x:c>
      <x:c r="B5" s="1" t="n">
        <x:f>'Setup'!B6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Used-ingredient cost</x:v>
      </x:c>
      <x:c r="B6" s="7" t="n">
        <x:f>'ShoppingList'!J14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Used cost per serving</x:v>
      </x:c>
      <x:c r="B7" s="9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Total purchase cost</x:v>
      </x:c>
      <x:c r="B8" s="7" t="n">
        <x:f>'ShoppingList'!H14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Shopping budget</x:v>
      </x:c>
      <x:c r="B9" s="7" t="n">
        <x:f>'Setup'!B7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Budget remaining</x:v>
      </x:c>
      <x:c r="B10" s="7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6ebaed28e1294b05"/>
</x:worksheet>
</file>