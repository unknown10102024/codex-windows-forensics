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Create\xlsx\001-010_astra_ultra\Run_004\"/>
    </mc:Choice>
  </mc:AlternateContent>
  <xr:revisionPtr revIDLastSave="0" documentId="13_ncr:1_{3956D7E2-229E-426E-BC5B-35289C7D2019}" xr6:coauthVersionLast="47" xr6:coauthVersionMax="47" xr10:uidLastSave="{00000000-0000-0000-0000-000000000000}"/>
  <bookViews>
    <workbookView xWindow="-120" yWindow="-120" windowWidth="38610" windowHeight="18720" activeTab="3" xr2:uid="{00000000-000D-0000-FFFF-FFFF00000000}"/>
  </bookViews>
  <sheets>
    <sheet name="Setup" sheetId="1" r:id="rId1"/>
    <sheet name="Ingredients" sheetId="2" r:id="rId2"/>
    <sheet name="ShoppingLis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4" l="1"/>
  <c r="C5" i="4"/>
  <c r="G11" i="3"/>
  <c r="F11" i="3"/>
  <c r="D11" i="3"/>
  <c r="B11" i="3"/>
  <c r="G10" i="3"/>
  <c r="F10" i="3"/>
  <c r="D10" i="3"/>
  <c r="B10" i="3"/>
  <c r="G9" i="3"/>
  <c r="F9" i="3"/>
  <c r="D9" i="3"/>
  <c r="B9" i="3"/>
  <c r="G8" i="3"/>
  <c r="F8" i="3"/>
  <c r="D8" i="3"/>
  <c r="B8" i="3"/>
  <c r="G7" i="3"/>
  <c r="F7" i="3"/>
  <c r="D7" i="3"/>
  <c r="B7" i="3"/>
  <c r="G4" i="3"/>
  <c r="C4" i="3"/>
  <c r="G11" i="2"/>
  <c r="C11" i="3" s="1"/>
  <c r="E11" i="3" s="1"/>
  <c r="G10" i="2"/>
  <c r="C10" i="3" s="1"/>
  <c r="G9" i="2"/>
  <c r="H9" i="2" s="1"/>
  <c r="K9" i="3" s="1"/>
  <c r="G8" i="2"/>
  <c r="C8" i="3" s="1"/>
  <c r="G7" i="2"/>
  <c r="C7" i="3" s="1"/>
  <c r="E7" i="3" s="1"/>
  <c r="H7" i="3" l="1"/>
  <c r="I7" i="3" s="1"/>
  <c r="H11" i="3"/>
  <c r="I11" i="3" s="1"/>
  <c r="E8" i="3"/>
  <c r="H8" i="3" s="1"/>
  <c r="I8" i="3" s="1"/>
  <c r="E10" i="3"/>
  <c r="H10" i="3" s="1"/>
  <c r="I10" i="3" s="1"/>
  <c r="I13" i="3" s="1"/>
  <c r="F5" i="4" s="1"/>
  <c r="F9" i="4" s="1"/>
  <c r="C9" i="3"/>
  <c r="E9" i="3" s="1"/>
  <c r="H9" i="3" s="1"/>
  <c r="I9" i="3" s="1"/>
  <c r="H7" i="2"/>
  <c r="K7" i="3" s="1"/>
  <c r="H8" i="2"/>
  <c r="K8" i="3" s="1"/>
  <c r="H10" i="2"/>
  <c r="K10" i="3" s="1"/>
  <c r="H11" i="2"/>
  <c r="K11" i="3" s="1"/>
  <c r="J10" i="3"/>
  <c r="J7" i="3"/>
  <c r="J11" i="3" l="1"/>
  <c r="J8" i="3"/>
  <c r="J9" i="3"/>
  <c r="K13" i="3"/>
  <c r="C6" i="4" s="1"/>
  <c r="C7" i="4" s="1"/>
  <c r="F7" i="4"/>
</calcChain>
</file>

<file path=xl/sharedStrings.xml><?xml version="1.0" encoding="utf-8"?>
<sst xmlns="http://schemas.openxmlformats.org/spreadsheetml/2006/main" count="59" uniqueCount="47">
  <si>
    <t>Carbonara meal setup</t>
  </si>
  <si>
    <t>Setting</t>
  </si>
  <si>
    <t>Value</t>
  </si>
  <si>
    <t>Guidance</t>
  </si>
  <si>
    <t>Base recipe servings</t>
  </si>
  <si>
    <t>Recipe quantities are defined for 2 servings.</t>
  </si>
  <si>
    <t>Desired servings</t>
  </si>
  <si>
    <t>Editable input: enter a whole number from 1 to 20.</t>
  </si>
  <si>
    <t>Shopping budget (USD)</t>
  </si>
  <si>
    <t>Editable input: enter an amount of zero or more.</t>
  </si>
  <si>
    <t>Using this workbook</t>
  </si>
  <si>
    <t>Amber cells are editable inputs. Update servings and budget above.</t>
  </si>
  <si>
    <t>Edit recipe quantities, stock, package sizes and prices in the Ingredients table.</t>
  </si>
  <si>
    <t>ShoppingList shows whole packages to buy and stock remaining after cooking.</t>
  </si>
  <si>
    <t>Dashboard summarizes ingredient use, shopping costs and budget status.</t>
  </si>
  <si>
    <t>Carbonara ingredients</t>
  </si>
  <si>
    <t>Source: user-provided illustrative quantities and package prices (USD).</t>
  </si>
  <si>
    <t>All quantities are grams. Egg yolks exclude shells and egg whites. Amber cells are editable.</t>
  </si>
  <si>
    <t>Ingredient</t>
  </si>
  <si>
    <t>Base quantity for 2 servings (g)</t>
  </si>
  <si>
    <t>Stock available (g)</t>
  </si>
  <si>
    <t>Package size (g)</t>
  </si>
  <si>
    <t>Package price (USD)</t>
  </si>
  <si>
    <t>Required quantity (g)</t>
  </si>
  <si>
    <t>Used-ingredient cost (USD)</t>
  </si>
  <si>
    <t>Spaghetti (dry)</t>
  </si>
  <si>
    <t>Guanciale</t>
  </si>
  <si>
    <t>Egg yolks</t>
  </si>
  <si>
    <t>Pecorino Romano</t>
  </si>
  <si>
    <t>Black pepper</t>
  </si>
  <si>
    <t>Used-ingredient cost values all required ingredients at their package unit price, including ingredients from stock.</t>
  </si>
  <si>
    <t>Carbonara shopping list</t>
  </si>
  <si>
    <t>Highlighted rows need a purchase. Zero-purchase ingredients remain listed.</t>
  </si>
  <si>
    <t>Budget (USD)</t>
  </si>
  <si>
    <t>Additional needed (g)</t>
  </si>
  <si>
    <t>Whole packages to buy</t>
  </si>
  <si>
    <t>Purchase cost (USD)</t>
  </si>
  <si>
    <t>Stock after cooking (g)</t>
  </si>
  <si>
    <t>Total cost (USD)</t>
  </si>
  <si>
    <t>Purchase cost is the cash needed for whole packages. Stock after cooking includes unused portions of those packages.</t>
  </si>
  <si>
    <t>Carbonara cost dashboard</t>
  </si>
  <si>
    <t>Meal cost</t>
  </si>
  <si>
    <t>Shopping budget</t>
  </si>
  <si>
    <t>Total purchase cost (USD)</t>
  </si>
  <si>
    <t>Used cost per serving (USD)</t>
  </si>
  <si>
    <t>Budget remaining (USD)</t>
  </si>
  <si>
    <t>Budget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</si>
</sst>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(&quot;$&quot;#,##0.00\);&quot;$&quot;0.00"/>
    <numFmt numFmtId="165" formatCode="#,##0.0"/>
  </numFmts>
  <fonts count="8">
    <font>
      <sz val="11"/>
      <name val="Carlito"/>
    </font>
    <font>
      <sz val="11"/>
      <color rgb="FF25384A"/>
      <name val="Arial"/>
    </font>
    <font>
      <b/>
      <sz val="17"/>
      <color rgb="FF29465B"/>
      <name val="Arial"/>
    </font>
    <font>
      <b/>
      <sz val="11"/>
      <color rgb="FFFFFFFF"/>
      <name val="Arial"/>
    </font>
    <font>
      <b/>
      <sz val="11"/>
      <color rgb="FF225B88"/>
      <name val="Arial"/>
    </font>
    <font>
      <b/>
      <sz val="11"/>
      <color rgb="FF25384A"/>
      <name val="Arial"/>
    </font>
    <font>
      <i/>
      <sz val="11"/>
      <color rgb="FF576A78"/>
      <name val="Arial"/>
    </font>
    <font>
      <sz val="11"/>
      <color rgb="FF225B88"/>
      <name val="Arial"/>
    </font>
  </fonts>
  <fills count="5">
    <fill>
      <patternFill patternType="none"/>
    </fill>
    <fill>
      <patternFill patternType="gray125"/>
    </fill>
    <fill>
      <patternFill patternType="solid">
        <fgColor rgb="FF29465B"/>
      </patternFill>
    </fill>
    <fill>
      <patternFill patternType="solid">
        <fgColor rgb="FFF0F4F7"/>
      </patternFill>
    </fill>
    <fill>
      <patternFill patternType="solid">
        <fgColor rgb="FFFFF0C2"/>
      </patternFill>
    </fill>
  </fills>
  <borders count="6">
    <border>
      <left/>
      <right/>
      <top/>
      <bottom/>
      <diagonal/>
    </border>
    <border>
      <left/>
      <right/>
      <top/>
      <bottom style="thin">
        <color rgb="FF9AAEB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29465B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1" fontId="1" fillId="3" borderId="0" xfId="0" applyNumberFormat="1" applyFont="1" applyFill="1" applyBorder="1" applyAlignment="1">
      <alignment horizontal="right" vertical="center"/>
    </xf>
    <xf numFmtId="1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165" fontId="7" fillId="4" borderId="0" xfId="0" applyNumberFormat="1" applyFont="1" applyFill="1" applyBorder="1" applyAlignment="1">
      <alignment horizontal="right" vertical="center"/>
    </xf>
    <xf numFmtId="165" fontId="1" fillId="3" borderId="0" xfId="0" applyNumberFormat="1" applyFont="1" applyFill="1" applyBorder="1" applyAlignment="1">
      <alignment horizontal="right" vertical="center"/>
    </xf>
    <xf numFmtId="164" fontId="7" fillId="4" borderId="0" xfId="0" applyNumberFormat="1" applyFont="1" applyFill="1" applyBorder="1" applyAlignment="1">
      <alignment horizontal="right" vertical="center"/>
    </xf>
    <xf numFmtId="164" fontId="1" fillId="3" borderId="0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vertical="center"/>
    </xf>
    <xf numFmtId="165" fontId="1" fillId="0" borderId="0" xfId="0" applyNumberFormat="1" applyFont="1" applyFill="1" applyBorder="1" applyAlignment="1">
      <alignment horizontal="right" vertical="center"/>
    </xf>
    <xf numFmtId="0" fontId="5" fillId="3" borderId="5" xfId="0" applyNumberFormat="1" applyFont="1" applyFill="1" applyBorder="1" applyAlignment="1">
      <alignment vertical="center"/>
    </xf>
    <xf numFmtId="0" fontId="5" fillId="3" borderId="5" xfId="0" applyNumberFormat="1" applyFont="1" applyFill="1" applyBorder="1" applyAlignment="1">
      <alignment horizontal="right" vertical="center"/>
    </xf>
    <xf numFmtId="164" fontId="5" fillId="3" borderId="5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color rgb="FFA32020"/>
      </font>
      <fill>
        <patternFill patternType="solid">
          <bgColor rgb="FFFDE8E7"/>
        </patternFill>
      </fill>
    </dxf>
    <dxf>
      <font>
        <b/>
        <color rgb="FFA32020"/>
      </font>
      <fill>
        <patternFill patternType="solid">
          <bgColor rgb="FFFDE8E7"/>
        </patternFill>
      </fill>
    </dxf>
    <dxf>
      <font>
        <b/>
        <color rgb="FFA32020"/>
      </font>
      <fill>
        <patternFill patternType="solid">
          <bgColor rgb="FFFDE8E7"/>
        </patternFill>
      </fill>
    </dxf>
    <dxf>
      <font>
        <b/>
        <color rgb="FFA32020"/>
      </font>
      <fill>
        <patternFill patternType="solid">
          <bgColor rgb="FFFDE8E7"/>
        </patternFill>
      </fill>
    </dxf>
    <dxf>
      <fill>
        <patternFill patternType="solid">
          <bgColor rgb="FFEAF3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>
              <a:srgbClr val="547E98"/>
            </a:solidFill>
          </c:spPr>
          <c:invertIfNegative val="1"/>
          <c:cat>
            <c:strRef>
              <c:f>ShoppingList!$B$7:$B$11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ShoppingList!$I$7:$I$11</c:f>
              <c:numCache>
                <c:formatCode>"$"#,##0.00;[Red]\("$"#,##0.00\);"$"0.00</c:formatCode>
                <c:ptCount val="5"/>
                <c:pt idx="0">
                  <c:v>2.5</c:v>
                </c:pt>
                <c:pt idx="1">
                  <c:v>12</c:v>
                </c:pt>
                <c:pt idx="2">
                  <c:v>1.62</c:v>
                </c:pt>
                <c:pt idx="3">
                  <c:v>7</c:v>
                </c:pt>
                <c:pt idx="4">
                  <c:v>2.5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E1C4-4AB1-93ED-79496D5FC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Used-ingredient cost (USD)</c:v>
          </c:tx>
          <c:cat>
            <c:strRef>
              <c:f>Ingredients!$B$7:$B$11</c:f>
              <c:strCache>
                <c:ptCount val="5"/>
                <c:pt idx="0">
                  <c:v>Spaghetti (dry)</c:v>
                </c:pt>
                <c:pt idx="1">
                  <c:v>Guanciale</c:v>
                </c:pt>
                <c:pt idx="2">
                  <c:v>Egg yolks</c:v>
                </c:pt>
                <c:pt idx="3">
                  <c:v>Pecorino Romano</c:v>
                </c:pt>
                <c:pt idx="4">
                  <c:v>Black pepper</c:v>
                </c:pt>
              </c:strCache>
            </c:strRef>
          </c:cat>
          <c:val>
            <c:numRef>
              <c:f>Ingredients!$H$7:$H$11</c:f>
              <c:numCache>
                <c:formatCode>"$"#,##0.00;[Red]\("$"#,##0.00\);"$"0.00</c:formatCode>
                <c:ptCount val="5"/>
                <c:pt idx="0">
                  <c:v>3</c:v>
                </c:pt>
                <c:pt idx="1">
                  <c:v>9.6</c:v>
                </c:pt>
                <c:pt idx="2">
                  <c:v>1.62</c:v>
                </c:pt>
                <c:pt idx="3">
                  <c:v>4.2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3-471F-9A37-F1E25E96E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b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0</xdr:rowOff>
    </xdr:from>
    <xdr:ext cx="6000750" cy="31908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4381500" cy="3190875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gredientsTable" displayName="IngredientsTable" ref="B6:H11" totalsRowShown="0">
  <autoFilter ref="B6:H11" xr:uid="{00000000-0009-0000-0100-000001000000}"/>
  <tableColumns count="7">
    <tableColumn id="1" xr3:uid="{00000000-0010-0000-0000-000001000000}" name="Ingredient"/>
    <tableColumn id="2" xr3:uid="{00000000-0010-0000-0000-000002000000}" name="Base quantity for 2 servings (g)"/>
    <tableColumn id="3" xr3:uid="{00000000-0010-0000-0000-000003000000}" name="Stock available (g)"/>
    <tableColumn id="4" xr3:uid="{00000000-0010-0000-0000-000004000000}" name="Package size (g)"/>
    <tableColumn id="5" xr3:uid="{00000000-0010-0000-0000-000005000000}" name="Package price (USD)"/>
    <tableColumn id="6" xr3:uid="{00000000-0010-0000-0000-000006000000}" name="Required quantity (g)"/>
    <tableColumn id="7" xr3:uid="{00000000-0010-0000-0000-000007000000}" name="Used-ingredient cost (US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893A4"/>
  </sheetPr>
  <dimension ref="B2:F15"/>
  <sheetViews>
    <sheetView showGridLines="0" workbookViewId="0"/>
  </sheetViews>
  <sheetFormatPr defaultRowHeight="14.25"/>
  <cols>
    <col min="1" max="1" width="3" customWidth="1"/>
    <col min="2" max="2" width="29" customWidth="1"/>
    <col min="3" max="3" width="18" customWidth="1"/>
    <col min="4" max="4" width="58" customWidth="1"/>
    <col min="5" max="6" width="8" customWidth="1"/>
  </cols>
  <sheetData>
    <row r="2" spans="2:6" ht="30.95" customHeight="1">
      <c r="B2" s="2" t="s">
        <v>0</v>
      </c>
      <c r="C2" s="3"/>
      <c r="D2" s="3"/>
      <c r="E2" s="3"/>
      <c r="F2" s="3"/>
    </row>
    <row r="3" spans="2:6" ht="24" customHeight="1">
      <c r="B3" s="1"/>
      <c r="C3" s="1"/>
      <c r="D3" s="1"/>
      <c r="E3" s="1"/>
      <c r="F3" s="1"/>
    </row>
    <row r="4" spans="2:6" ht="24" customHeight="1">
      <c r="B4" s="4" t="s">
        <v>1</v>
      </c>
      <c r="C4" s="5" t="s">
        <v>2</v>
      </c>
      <c r="D4" s="6" t="s">
        <v>3</v>
      </c>
      <c r="E4" s="1"/>
      <c r="F4" s="1"/>
    </row>
    <row r="5" spans="2:6" ht="30" customHeight="1">
      <c r="B5" s="1" t="s">
        <v>4</v>
      </c>
      <c r="C5" s="10">
        <v>2</v>
      </c>
      <c r="D5" s="1" t="s">
        <v>5</v>
      </c>
      <c r="E5" s="1"/>
      <c r="F5" s="1"/>
    </row>
    <row r="6" spans="2:6" ht="30" customHeight="1">
      <c r="B6" s="1" t="s">
        <v>6</v>
      </c>
      <c r="C6" s="11">
        <v>6</v>
      </c>
      <c r="D6" s="1" t="s">
        <v>7</v>
      </c>
      <c r="E6" s="1"/>
      <c r="F6" s="1"/>
    </row>
    <row r="7" spans="2:6" ht="30" customHeight="1">
      <c r="B7" s="1" t="s">
        <v>8</v>
      </c>
      <c r="C7" s="12">
        <v>20</v>
      </c>
      <c r="D7" s="1" t="s">
        <v>9</v>
      </c>
      <c r="E7" s="1"/>
      <c r="F7" s="1"/>
    </row>
    <row r="8" spans="2:6" ht="24" customHeight="1">
      <c r="B8" s="1"/>
      <c r="C8" s="1"/>
      <c r="D8" s="1"/>
      <c r="E8" s="1"/>
      <c r="F8" s="1"/>
    </row>
    <row r="9" spans="2:6" ht="24" customHeight="1">
      <c r="B9" s="1"/>
      <c r="C9" s="1"/>
      <c r="D9" s="1"/>
      <c r="E9" s="1"/>
      <c r="F9" s="1"/>
    </row>
    <row r="10" spans="2:6" ht="24" customHeight="1">
      <c r="B10" s="13" t="s">
        <v>10</v>
      </c>
      <c r="C10" s="1"/>
      <c r="D10" s="1"/>
      <c r="E10" s="1"/>
      <c r="F10" s="1"/>
    </row>
    <row r="11" spans="2:6" ht="24" customHeight="1">
      <c r="B11" s="1" t="s">
        <v>11</v>
      </c>
      <c r="C11" s="1"/>
      <c r="D11" s="1"/>
      <c r="E11" s="1"/>
      <c r="F11" s="1"/>
    </row>
    <row r="12" spans="2:6" ht="24" customHeight="1">
      <c r="B12" s="1" t="s">
        <v>12</v>
      </c>
      <c r="C12" s="1"/>
      <c r="D12" s="1"/>
      <c r="E12" s="1"/>
      <c r="F12" s="1"/>
    </row>
    <row r="13" spans="2:6" ht="24" customHeight="1">
      <c r="B13" s="1" t="s">
        <v>13</v>
      </c>
      <c r="C13" s="1"/>
      <c r="D13" s="1"/>
      <c r="E13" s="1"/>
      <c r="F13" s="1"/>
    </row>
    <row r="14" spans="2:6" ht="24" customHeight="1">
      <c r="B14" s="1" t="s">
        <v>14</v>
      </c>
      <c r="C14" s="1"/>
      <c r="D14" s="1"/>
      <c r="E14" s="1"/>
      <c r="F14" s="1"/>
    </row>
    <row r="15" spans="2:6" ht="24" customHeight="1">
      <c r="B15" s="1"/>
      <c r="C15" s="1"/>
      <c r="D15" s="1"/>
      <c r="E15" s="1"/>
      <c r="F15" s="1"/>
    </row>
  </sheetData>
  <dataValidations count="2">
    <dataValidation type="whole" showInputMessage="1" showErrorMessage="1" errorTitle="Invalid input" error="Enter a whole number from 1 through 20." promptTitle="Desired servings" prompt="Enter a whole number from 1 through 20." sqref="C6" xr:uid="{00000000-0002-0000-0000-000000000000}">
      <formula1>1</formula1>
      <formula2>20</formula2>
    </dataValidation>
    <dataValidation type="decimal" operator="greaterThanOrEqual" showInputMessage="1" showErrorMessage="1" errorTitle="Invalid input" error="Enter a nonnegative amount in USD." promptTitle="Shopping budget" prompt="Enter a nonnegative amount in USD." sqref="C7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5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3" customWidth="1"/>
    <col min="2" max="2" width="25" customWidth="1"/>
    <col min="3" max="7" width="20" customWidth="1"/>
    <col min="8" max="8" width="23" customWidth="1"/>
  </cols>
  <sheetData>
    <row r="2" spans="2:8" ht="30.95" customHeight="1">
      <c r="B2" s="2" t="s">
        <v>15</v>
      </c>
      <c r="C2" s="3"/>
      <c r="D2" s="3"/>
      <c r="E2" s="3"/>
      <c r="F2" s="3"/>
      <c r="G2" s="3"/>
      <c r="H2" s="3"/>
    </row>
    <row r="3" spans="2:8" ht="24" customHeight="1">
      <c r="B3" s="14" t="s">
        <v>16</v>
      </c>
      <c r="C3" s="1"/>
      <c r="D3" s="1"/>
      <c r="E3" s="1"/>
      <c r="F3" s="1"/>
      <c r="G3" s="1"/>
      <c r="H3" s="1"/>
    </row>
    <row r="4" spans="2:8" ht="24" customHeight="1">
      <c r="B4" s="14" t="s">
        <v>17</v>
      </c>
      <c r="C4" s="1"/>
      <c r="D4" s="1"/>
      <c r="E4" s="1"/>
      <c r="F4" s="1"/>
      <c r="G4" s="1"/>
      <c r="H4" s="1"/>
    </row>
    <row r="5" spans="2:8" ht="24" customHeight="1">
      <c r="B5" s="1"/>
      <c r="C5" s="1"/>
      <c r="D5" s="1"/>
      <c r="E5" s="1"/>
      <c r="F5" s="1"/>
      <c r="G5" s="1"/>
      <c r="H5" s="1"/>
    </row>
    <row r="6" spans="2:8" ht="48.95" customHeight="1">
      <c r="B6" s="4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6" t="s">
        <v>24</v>
      </c>
    </row>
    <row r="7" spans="2:8" ht="29.1" customHeight="1">
      <c r="B7" s="15" t="s">
        <v>25</v>
      </c>
      <c r="C7" s="16">
        <v>200</v>
      </c>
      <c r="D7" s="16">
        <v>100</v>
      </c>
      <c r="E7" s="16">
        <v>500</v>
      </c>
      <c r="F7" s="18">
        <v>2.5</v>
      </c>
      <c r="G7" s="17">
        <f>C7*Setup!$C$6/Setup!$C$5</f>
        <v>600</v>
      </c>
      <c r="H7" s="19">
        <f>G7/E7*F7</f>
        <v>3</v>
      </c>
    </row>
    <row r="8" spans="2:8" ht="29.1" customHeight="1">
      <c r="B8" s="15" t="s">
        <v>26</v>
      </c>
      <c r="C8" s="16">
        <v>80</v>
      </c>
      <c r="D8" s="16">
        <v>20</v>
      </c>
      <c r="E8" s="16">
        <v>100</v>
      </c>
      <c r="F8" s="18">
        <v>4</v>
      </c>
      <c r="G8" s="17">
        <f>C8*Setup!$C$6/Setup!$C$5</f>
        <v>240</v>
      </c>
      <c r="H8" s="19">
        <f>G8/E8*F8</f>
        <v>9.6</v>
      </c>
    </row>
    <row r="9" spans="2:8" ht="29.1" customHeight="1">
      <c r="B9" s="15" t="s">
        <v>27</v>
      </c>
      <c r="C9" s="16">
        <v>36</v>
      </c>
      <c r="D9" s="16">
        <v>0</v>
      </c>
      <c r="E9" s="16">
        <v>36</v>
      </c>
      <c r="F9" s="18">
        <v>0.54</v>
      </c>
      <c r="G9" s="17">
        <f>C9*Setup!$C$6/Setup!$C$5</f>
        <v>108</v>
      </c>
      <c r="H9" s="19">
        <f>G9/E9*F9</f>
        <v>1.62</v>
      </c>
    </row>
    <row r="10" spans="2:8" ht="29.1" customHeight="1">
      <c r="B10" s="15" t="s">
        <v>28</v>
      </c>
      <c r="C10" s="16">
        <v>40</v>
      </c>
      <c r="D10" s="16">
        <v>10</v>
      </c>
      <c r="E10" s="16">
        <v>100</v>
      </c>
      <c r="F10" s="18">
        <v>3.5</v>
      </c>
      <c r="G10" s="17">
        <f>C10*Setup!$C$6/Setup!$C$5</f>
        <v>120</v>
      </c>
      <c r="H10" s="19">
        <f>G10/E10*F10</f>
        <v>4.2</v>
      </c>
    </row>
    <row r="11" spans="2:8" ht="29.1" customHeight="1">
      <c r="B11" s="15" t="s">
        <v>29</v>
      </c>
      <c r="C11" s="16">
        <v>1</v>
      </c>
      <c r="D11" s="16">
        <v>2</v>
      </c>
      <c r="E11" s="16">
        <v>50</v>
      </c>
      <c r="F11" s="18">
        <v>2.5</v>
      </c>
      <c r="G11" s="17">
        <f>C11*Setup!$C$6/Setup!$C$5</f>
        <v>3</v>
      </c>
      <c r="H11" s="19">
        <f>G11/E11*F11</f>
        <v>0.15</v>
      </c>
    </row>
    <row r="12" spans="2:8" ht="24" customHeight="1">
      <c r="B12" s="1"/>
      <c r="C12" s="1"/>
      <c r="D12" s="1"/>
      <c r="E12" s="1"/>
      <c r="F12" s="1"/>
      <c r="G12" s="1"/>
      <c r="H12" s="1"/>
    </row>
    <row r="13" spans="2:8" ht="24" customHeight="1">
      <c r="B13" s="1"/>
      <c r="C13" s="1"/>
      <c r="D13" s="1"/>
      <c r="E13" s="1"/>
      <c r="F13" s="1"/>
      <c r="G13" s="1"/>
      <c r="H13" s="1"/>
    </row>
    <row r="14" spans="2:8" ht="24" customHeight="1">
      <c r="B14" s="14" t="s">
        <v>30</v>
      </c>
      <c r="C14" s="1"/>
      <c r="D14" s="1"/>
      <c r="E14" s="1"/>
      <c r="F14" s="1"/>
      <c r="G14" s="1"/>
      <c r="H14" s="1"/>
    </row>
    <row r="15" spans="2:8" ht="24" customHeight="1">
      <c r="B15" s="1"/>
      <c r="C15" s="1"/>
      <c r="D15" s="1"/>
      <c r="E15" s="1"/>
      <c r="F15" s="1"/>
      <c r="G15" s="1"/>
      <c r="H15" s="1"/>
    </row>
  </sheetData>
  <dataValidations count="3">
    <dataValidation type="decimal" operator="greaterThanOrEqual" showInputMessage="1" showErrorMessage="1" errorTitle="Invalid input" error="Enter a nonnegative quantity in grams." promptTitle="Quantity in grams" prompt="Enter a nonnegative quantity in grams." sqref="C7:D11" xr:uid="{00000000-0002-0000-0100-000000000000}">
      <formula1>0</formula1>
    </dataValidation>
    <dataValidation type="decimal" operator="greaterThan" showInputMessage="1" showErrorMessage="1" errorTitle="Invalid input" error="Enter a package size greater than zero grams." promptTitle="Package size" prompt="Enter a package size greater than zero grams." sqref="E7:E11" xr:uid="{00000000-0002-0000-0100-000001000000}">
      <formula1>0</formula1>
    </dataValidation>
    <dataValidation type="decimal" operator="greaterThanOrEqual" showInputMessage="1" showErrorMessage="1" errorTitle="Invalid input" error="Enter a nonnegative package price in USD." promptTitle="Package price" prompt="Enter a nonnegative package price in USD." sqref="F7:F11" xr:uid="{00000000-0002-0000-01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6"/>
  <sheetViews>
    <sheetView showGridLines="0" workbookViewId="0">
      <pane ySplit="6" topLeftCell="A7" activePane="bottomLeft" state="frozen"/>
      <selection pane="bottomLeft"/>
    </sheetView>
  </sheetViews>
  <sheetFormatPr defaultRowHeight="14.25"/>
  <cols>
    <col min="1" max="1" width="3" customWidth="1"/>
    <col min="2" max="2" width="25" customWidth="1"/>
    <col min="3" max="10" width="18" customWidth="1"/>
    <col min="11" max="11" width="22" customWidth="1"/>
  </cols>
  <sheetData>
    <row r="2" spans="2:11" ht="30.95" customHeight="1">
      <c r="B2" s="2" t="s">
        <v>31</v>
      </c>
      <c r="C2" s="3"/>
      <c r="D2" s="3"/>
      <c r="E2" s="3"/>
      <c r="F2" s="3"/>
      <c r="G2" s="3"/>
      <c r="H2" s="3"/>
      <c r="I2" s="3"/>
      <c r="J2" s="3"/>
      <c r="K2" s="3"/>
    </row>
    <row r="3" spans="2:11" ht="24" customHeight="1">
      <c r="B3" s="14" t="s">
        <v>32</v>
      </c>
      <c r="C3" s="1"/>
      <c r="D3" s="1"/>
      <c r="E3" s="1"/>
      <c r="F3" s="1"/>
      <c r="G3" s="1"/>
      <c r="H3" s="1"/>
      <c r="I3" s="1"/>
      <c r="J3" s="1"/>
      <c r="K3" s="1"/>
    </row>
    <row r="4" spans="2:11" ht="24" customHeight="1">
      <c r="B4" s="1" t="s">
        <v>6</v>
      </c>
      <c r="C4" s="1">
        <f>Setup!C6</f>
        <v>6</v>
      </c>
      <c r="D4" s="1"/>
      <c r="E4" s="1" t="s">
        <v>33</v>
      </c>
      <c r="F4" s="1"/>
      <c r="G4" s="20">
        <f>Setup!C7</f>
        <v>20</v>
      </c>
      <c r="H4" s="1"/>
      <c r="I4" s="1"/>
      <c r="J4" s="1"/>
      <c r="K4" s="1"/>
    </row>
    <row r="5" spans="2:11" ht="24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 ht="48.95" customHeight="1">
      <c r="B6" s="4" t="s">
        <v>18</v>
      </c>
      <c r="C6" s="5" t="s">
        <v>23</v>
      </c>
      <c r="D6" s="5" t="s">
        <v>20</v>
      </c>
      <c r="E6" s="5" t="s">
        <v>34</v>
      </c>
      <c r="F6" s="5" t="s">
        <v>21</v>
      </c>
      <c r="G6" s="5" t="s">
        <v>22</v>
      </c>
      <c r="H6" s="5" t="s">
        <v>35</v>
      </c>
      <c r="I6" s="5" t="s">
        <v>36</v>
      </c>
      <c r="J6" s="5" t="s">
        <v>37</v>
      </c>
      <c r="K6" s="6" t="s">
        <v>24</v>
      </c>
    </row>
    <row r="7" spans="2:11" ht="29.1" customHeight="1">
      <c r="B7" s="1" t="str">
        <f>Ingredients!B7</f>
        <v>Spaghetti (dry)</v>
      </c>
      <c r="C7" s="21">
        <f>Ingredients!G7</f>
        <v>600</v>
      </c>
      <c r="D7" s="21">
        <f>Ingredients!D7</f>
        <v>100</v>
      </c>
      <c r="E7" s="21">
        <f>MAX(C7-D7,0)</f>
        <v>500</v>
      </c>
      <c r="F7" s="21">
        <f>Ingredients!E7</f>
        <v>500</v>
      </c>
      <c r="G7" s="9">
        <f>Ingredients!F7</f>
        <v>2.5</v>
      </c>
      <c r="H7" s="8">
        <f>ROUNDUP(E7/F7,0)</f>
        <v>1</v>
      </c>
      <c r="I7" s="9">
        <f>H7*G7</f>
        <v>2.5</v>
      </c>
      <c r="J7" s="21">
        <f>D7+H7*F7-C7</f>
        <v>0</v>
      </c>
      <c r="K7" s="9">
        <f>Ingredients!H7</f>
        <v>3</v>
      </c>
    </row>
    <row r="8" spans="2:11" ht="29.1" customHeight="1">
      <c r="B8" s="1" t="str">
        <f>Ingredients!B8</f>
        <v>Guanciale</v>
      </c>
      <c r="C8" s="21">
        <f>Ingredients!G8</f>
        <v>240</v>
      </c>
      <c r="D8" s="21">
        <f>Ingredients!D8</f>
        <v>20</v>
      </c>
      <c r="E8" s="21">
        <f>MAX(C8-D8,0)</f>
        <v>220</v>
      </c>
      <c r="F8" s="21">
        <f>Ingredients!E8</f>
        <v>100</v>
      </c>
      <c r="G8" s="9">
        <f>Ingredients!F8</f>
        <v>4</v>
      </c>
      <c r="H8" s="8">
        <f>ROUNDUP(E8/F8,0)</f>
        <v>3</v>
      </c>
      <c r="I8" s="9">
        <f>H8*G8</f>
        <v>12</v>
      </c>
      <c r="J8" s="21">
        <f>D8+H8*F8-C8</f>
        <v>80</v>
      </c>
      <c r="K8" s="9">
        <f>Ingredients!H8</f>
        <v>9.6</v>
      </c>
    </row>
    <row r="9" spans="2:11" ht="29.1" customHeight="1">
      <c r="B9" s="1" t="str">
        <f>Ingredients!B9</f>
        <v>Egg yolks</v>
      </c>
      <c r="C9" s="21">
        <f>Ingredients!G9</f>
        <v>108</v>
      </c>
      <c r="D9" s="21">
        <f>Ingredients!D9</f>
        <v>0</v>
      </c>
      <c r="E9" s="21">
        <f>MAX(C9-D9,0)</f>
        <v>108</v>
      </c>
      <c r="F9" s="21">
        <f>Ingredients!E9</f>
        <v>36</v>
      </c>
      <c r="G9" s="9">
        <f>Ingredients!F9</f>
        <v>0.54</v>
      </c>
      <c r="H9" s="8">
        <f>ROUNDUP(E9/F9,0)</f>
        <v>3</v>
      </c>
      <c r="I9" s="9">
        <f>H9*G9</f>
        <v>1.62</v>
      </c>
      <c r="J9" s="21">
        <f>D9+H9*F9-C9</f>
        <v>0</v>
      </c>
      <c r="K9" s="9">
        <f>Ingredients!H9</f>
        <v>1.62</v>
      </c>
    </row>
    <row r="10" spans="2:11" ht="29.1" customHeight="1">
      <c r="B10" s="1" t="str">
        <f>Ingredients!B10</f>
        <v>Pecorino Romano</v>
      </c>
      <c r="C10" s="21">
        <f>Ingredients!G10</f>
        <v>120</v>
      </c>
      <c r="D10" s="21">
        <f>Ingredients!D10</f>
        <v>10</v>
      </c>
      <c r="E10" s="21">
        <f>MAX(C10-D10,0)</f>
        <v>110</v>
      </c>
      <c r="F10" s="21">
        <f>Ingredients!E10</f>
        <v>100</v>
      </c>
      <c r="G10" s="9">
        <f>Ingredients!F10</f>
        <v>3.5</v>
      </c>
      <c r="H10" s="8">
        <f>ROUNDUP(E10/F10,0)</f>
        <v>2</v>
      </c>
      <c r="I10" s="9">
        <f>H10*G10</f>
        <v>7</v>
      </c>
      <c r="J10" s="21">
        <f>D10+H10*F10-C10</f>
        <v>90</v>
      </c>
      <c r="K10" s="9">
        <f>Ingredients!H10</f>
        <v>4.2</v>
      </c>
    </row>
    <row r="11" spans="2:11" ht="29.1" customHeight="1">
      <c r="B11" s="1" t="str">
        <f>Ingredients!B11</f>
        <v>Black pepper</v>
      </c>
      <c r="C11" s="21">
        <f>Ingredients!G11</f>
        <v>3</v>
      </c>
      <c r="D11" s="21">
        <f>Ingredients!D11</f>
        <v>2</v>
      </c>
      <c r="E11" s="21">
        <f>MAX(C11-D11,0)</f>
        <v>1</v>
      </c>
      <c r="F11" s="21">
        <f>Ingredients!E11</f>
        <v>50</v>
      </c>
      <c r="G11" s="9">
        <f>Ingredients!F11</f>
        <v>2.5</v>
      </c>
      <c r="H11" s="8">
        <f>ROUNDUP(E11/F11,0)</f>
        <v>1</v>
      </c>
      <c r="I11" s="9">
        <f>H11*G11</f>
        <v>2.5</v>
      </c>
      <c r="J11" s="21">
        <f>D11+H11*F11-C11</f>
        <v>49</v>
      </c>
      <c r="K11" s="9">
        <f>Ingredients!H11</f>
        <v>0.15</v>
      </c>
    </row>
    <row r="12" spans="2:11" ht="24" customHeight="1">
      <c r="B12" s="1"/>
      <c r="C12" s="7"/>
      <c r="D12" s="7"/>
      <c r="E12" s="7"/>
      <c r="F12" s="7"/>
      <c r="G12" s="7"/>
      <c r="H12" s="7"/>
      <c r="I12" s="9"/>
      <c r="J12" s="7"/>
      <c r="K12" s="9"/>
    </row>
    <row r="13" spans="2:11" ht="24" customHeight="1">
      <c r="B13" s="22" t="s">
        <v>38</v>
      </c>
      <c r="C13" s="23"/>
      <c r="D13" s="23"/>
      <c r="E13" s="23"/>
      <c r="F13" s="23"/>
      <c r="G13" s="23"/>
      <c r="H13" s="23"/>
      <c r="I13" s="24">
        <f>SUM(I7:I11)</f>
        <v>25.62</v>
      </c>
      <c r="J13" s="23"/>
      <c r="K13" s="24">
        <f>SUM(K7:K11)</f>
        <v>18.569999999999997</v>
      </c>
    </row>
    <row r="14" spans="2:11" ht="24" customHeight="1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ht="24" customHeight="1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ht="24" customHeight="1">
      <c r="B16" s="14" t="s">
        <v>39</v>
      </c>
      <c r="C16" s="1"/>
      <c r="D16" s="1"/>
      <c r="E16" s="1"/>
      <c r="F16" s="1"/>
      <c r="G16" s="1"/>
      <c r="H16" s="1"/>
      <c r="I16" s="1"/>
      <c r="J16" s="1"/>
      <c r="K16" s="1"/>
    </row>
  </sheetData>
  <conditionalFormatting sqref="B7:K11">
    <cfRule type="expression" dxfId="4" priority="1">
      <formula>$H7&gt;0</formula>
    </cfRule>
  </conditionalFormatting>
  <conditionalFormatting sqref="I13">
    <cfRule type="expression" dxfId="3" priority="2">
      <formula>$I$13&gt;$G$4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9465B"/>
  </sheetPr>
  <dimension ref="B2:L31"/>
  <sheetViews>
    <sheetView showGridLines="0" tabSelected="1" zoomScale="85" zoomScaleNormal="85" workbookViewId="0">
      <selection activeCell="B2" sqref="B2"/>
    </sheetView>
  </sheetViews>
  <sheetFormatPr defaultRowHeight="14.25"/>
  <cols>
    <col min="1" max="1" width="3" customWidth="1"/>
    <col min="2" max="2" width="34" customWidth="1"/>
    <col min="3" max="3" width="17" customWidth="1"/>
    <col min="4" max="4" width="3" customWidth="1"/>
    <col min="5" max="5" width="34" customWidth="1"/>
    <col min="6" max="6" width="17" customWidth="1"/>
    <col min="7" max="7" width="3" customWidth="1"/>
    <col min="8" max="12" width="7" customWidth="1"/>
  </cols>
  <sheetData>
    <row r="2" spans="2:12" ht="30.95" customHeight="1">
      <c r="B2" s="2" t="s">
        <v>40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ht="24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2:12" ht="24" customHeight="1">
      <c r="B4" s="4" t="s">
        <v>41</v>
      </c>
      <c r="C4" s="6" t="s">
        <v>2</v>
      </c>
      <c r="D4" s="1"/>
      <c r="E4" s="4" t="s">
        <v>42</v>
      </c>
      <c r="F4" s="6" t="s">
        <v>2</v>
      </c>
      <c r="G4" s="1"/>
      <c r="H4" s="1"/>
      <c r="I4" s="1"/>
      <c r="J4" s="1"/>
      <c r="K4" s="1"/>
      <c r="L4" s="1"/>
    </row>
    <row r="5" spans="2:12" ht="30" customHeight="1">
      <c r="B5" s="1" t="s">
        <v>6</v>
      </c>
      <c r="C5" s="10">
        <f>Setup!C6</f>
        <v>6</v>
      </c>
      <c r="D5" s="1"/>
      <c r="E5" s="1" t="s">
        <v>43</v>
      </c>
      <c r="F5" s="19">
        <f>ShoppingList!I13</f>
        <v>25.62</v>
      </c>
      <c r="G5" s="1"/>
      <c r="H5" s="1"/>
      <c r="I5" s="1"/>
      <c r="J5" s="1"/>
      <c r="K5" s="1"/>
      <c r="L5" s="1"/>
    </row>
    <row r="6" spans="2:12" ht="30" customHeight="1">
      <c r="B6" s="1" t="s">
        <v>24</v>
      </c>
      <c r="C6" s="19">
        <f>ShoppingList!K13</f>
        <v>18.569999999999997</v>
      </c>
      <c r="D6" s="1"/>
      <c r="E6" s="1" t="s">
        <v>33</v>
      </c>
      <c r="F6" s="19">
        <f>Setup!C7</f>
        <v>20</v>
      </c>
      <c r="G6" s="1"/>
      <c r="H6" s="1"/>
      <c r="I6" s="1"/>
      <c r="J6" s="1"/>
      <c r="K6" s="1"/>
      <c r="L6" s="1"/>
    </row>
    <row r="7" spans="2:12" ht="30" customHeight="1">
      <c r="B7" s="1" t="s">
        <v>44</v>
      </c>
      <c r="C7" s="19">
        <f>ROUND(ROUND(C6/C5,10),2)</f>
        <v>3.1</v>
      </c>
      <c r="D7" s="1"/>
      <c r="E7" s="1" t="s">
        <v>45</v>
      </c>
      <c r="F7" s="19">
        <f>F6-F5</f>
        <v>-5.620000000000001</v>
      </c>
      <c r="G7" s="1"/>
      <c r="H7" s="1"/>
      <c r="I7" s="1"/>
      <c r="J7" s="1"/>
      <c r="K7" s="1"/>
      <c r="L7" s="1"/>
    </row>
    <row r="8" spans="2:12" ht="24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2:12" ht="24" customHeight="1">
      <c r="B9" s="1"/>
      <c r="C9" s="1"/>
      <c r="D9" s="1"/>
      <c r="E9" s="13" t="s">
        <v>46</v>
      </c>
      <c r="F9" s="25" t="str">
        <f>IF(F5&lt;=F6,"Within budget","Over budget")</f>
        <v>Over budget</v>
      </c>
      <c r="G9" s="1"/>
      <c r="H9" s="1"/>
      <c r="I9" s="1"/>
      <c r="J9" s="1"/>
      <c r="K9" s="1"/>
      <c r="L9" s="1"/>
    </row>
    <row r="10" spans="2:12" ht="24" customHeight="1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2:12" ht="24" customHeight="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ht="24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ht="24" customHeight="1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ht="24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ht="24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ht="24" customHeight="1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ht="24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ht="24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ht="24" customHeight="1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ht="24" customHeight="1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ht="24" customHeight="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ht="24" customHeight="1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ht="24" customHeight="1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2:12" ht="24" customHeight="1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2:12" ht="24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2:12" ht="24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ht="24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2:12" ht="24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2:12" ht="24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ht="24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ht="24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conditionalFormatting sqref="F5">
    <cfRule type="expression" dxfId="2" priority="1">
      <formula>$F$5&gt;$F$6</formula>
    </cfRule>
  </conditionalFormatting>
  <conditionalFormatting sqref="F7">
    <cfRule type="expression" dxfId="1" priority="2">
      <formula>$F$7&lt;0</formula>
    </cfRule>
  </conditionalFormatting>
  <conditionalFormatting sqref="F9">
    <cfRule type="expression" dxfId="0" priority="3">
      <formula>$F$5&gt;$F$6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Ingredients</vt:lpstr>
      <vt:lpstr>ShoppingList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2026-10-03T07:48:09Z</dcterms:modified>
</cp:coreProperties>
</file>