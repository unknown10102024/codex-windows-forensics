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e04990cd6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87c912479fc64888"/>
    <x:sheet xmlns:r="http://schemas.openxmlformats.org/officeDocument/2006/relationships" name="Ingredients" sheetId="2" r:id="R7e80e2a2355447d6"/>
    <x:sheet xmlns:r="http://schemas.openxmlformats.org/officeDocument/2006/relationships" name="ShoppingList" sheetId="3" r:id="R6f86de9544ed4202"/>
    <x:sheet xmlns:r="http://schemas.openxmlformats.org/officeDocument/2006/relationships" name="Dashboard" sheetId="4" r:id="R641b67cf6d17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0.00"/>
    <x:numFmt numFmtId="202" formatCode="0"/>
  </x:numFmts>
  <x:fonts count="7">
    <x:font>
      <x:sz val="11"/>
      <x:name val="Carlito"/>
    </x:font>
    <x:font>
      <x:sz val="11"/>
      <x:color rgb="FF243B53"/>
      <x:name val="Arial"/>
    </x:font>
    <x:font>
      <x:b/>
      <x:sz val="16"/>
      <x:color rgb="FF243B53"/>
      <x:name val="Arial"/>
    </x:font>
    <x:font>
      <x:b/>
      <x:sz val="11"/>
      <x:color rgb="FF1D4ED8"/>
      <x:name val="Arial"/>
    </x:font>
    <x:font>
      <x:sz val="11"/>
      <x:color rgb="FF1D4ED8"/>
      <x:name val="Arial"/>
    </x:font>
    <x:font>
      <x:b/>
      <x:sz val="11"/>
      <x:color rgb="FF243B5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4" fillId="2" borderId="0" xfId="0" applyNumberFormat="1" applyFont="1" applyFill="1" applyBorder="1"/>
    <x:xf numFmtId="201" fontId="4" fillId="2" borderId="0" xfId="0" applyNumberFormat="1" applyFont="1" applyFill="1" applyBorder="1"/>
    <x:xf numFmtId="201" fontId="1" fillId="0" borderId="0" xfId="0" applyNumberFormat="1" applyFont="1" applyFill="1" applyBorder="1"/>
    <x:xf numFmtId="200" fontId="4" fillId="2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d83c8e2864ba7" /><Relationship Type="http://schemas.openxmlformats.org/officeDocument/2006/relationships/theme" Target="/xl/theme/theme1.xml" Id="R3f2f2920c1d14c4e" /><Relationship Type="http://schemas.openxmlformats.org/officeDocument/2006/relationships/sharedStrings" Target="/xl/sharedStrings.xml" Id="R65ecd46d5d8546e1" /><Relationship Type="http://schemas.openxmlformats.org/officeDocument/2006/relationships/worksheet" Target="/xl/worksheets/sheet1.xml" Id="R87c912479fc64888" /><Relationship Type="http://schemas.openxmlformats.org/officeDocument/2006/relationships/worksheet" Target="/xl/worksheets/sheet2.xml" Id="R7e80e2a2355447d6" /><Relationship Type="http://schemas.openxmlformats.org/officeDocument/2006/relationships/worksheet" Target="/xl/worksheets/sheet3.xml" Id="R6f86de9544ed4202" /><Relationship Type="http://schemas.openxmlformats.org/officeDocument/2006/relationships/worksheet" Target="/xl/worksheets/sheet4.xml" Id="R641b67cf6d174d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4188acc5844c18" /><Relationship Type="http://schemas.openxmlformats.org/officeDocument/2006/relationships/chart" Target="/xl/drawings/charts/chart2.xml" Id="Rb50f32eaae1647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Purchase cost by ingredient (USD)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4E79A7"/>
            </a:solidFill>
          </c:spPr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"$"#,##0.00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Share of used-ingredient cost</a:t>
            </a:r>
          </a:p>
        </c:rich>
      </c:tx>
      <c:overlay val="0"/>
    </c:title>
    <c:plotArea>
      <c:doughnutChart>
        <c:ser>
          <c:idx val="0"/>
          <c:order val="0"/>
          <c:tx>
            <c:v>Used cost (USD)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'Dashboard'!$F$5:$F$9</c:f>
              <c:numCache>
                <c:formatCode>"$"#,##0.00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4188acc5844c18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0f32eaae1647a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4:G9" headerRowCount="1" totalsRowCount="0" totalsRowShown="0">
  <x:autoFilter ref="A4:G9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ce1ceef47a46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a9044a339d74104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Carbonara planning inputs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8" t="str">
        <x:v>Setting</x:v>
      </x:c>
      <x:c r="B4" s="18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4" customHeight="1">
      <x:c r="A5" s="1" t="str">
        <x:v>Base recipe servings</x:v>
      </x:c>
      <x:c r="B5" s="1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" t="str">
        <x:v>Desired servings</x:v>
      </x:c>
      <x:c r="B6" s="4" t="n">
        <x:v>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 t="str">
        <x:v>Shopping budget (USD)</x:v>
      </x:c>
      <x:c r="B7" s="5" t="n"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4" customHeight="1">
      <x:c r="A9" s="1" t="str">
        <x:v>Yellow cells are editable planning inputs.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4" customHeight="1">
      <x:c r="A10" s="1" t="str">
        <x:v>All quantities and package sizes are in grams.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" t="str">
        <x:v>Egg yolks exclude shells and egg whites.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dataValidations count="2">
    <x:dataValidation type="whole" errorStyle="stop" operator="between" showErrorMessage="1" errorTitle="Invalid servings" error="Enter a whole number from 1 through 20." sqref="B6">
      <x:formula1>1</x:formula1>
      <x:formula2>20</x:formula2>
    </x:dataValidation>
    <x:dataValidation type="decimal" errorStyle="stop" operator="greaterThanOrEqual" showErrorMessage="1" errorTitle="Invalid budget" error="Enter a nonnegative budget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Recipe ingredients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22" t="str">
        <x:v>Ingredient</x:v>
      </x:c>
      <x:c r="B4" s="22" t="str">
        <x:v>Base quantity for 2 servings (g)</x:v>
      </x:c>
      <x:c r="C4" s="22" t="str">
        <x:v>Stock available (g)</x:v>
      </x:c>
      <x:c r="D4" s="22" t="str">
        <x:v>Package size (g)</x:v>
      </x:c>
      <x:c r="E4" s="22" t="str">
        <x:v>Package price (USD)</x:v>
      </x:c>
      <x:c r="F4" s="22" t="str">
        <x:v>Required quantity (g)</x:v>
      </x:c>
      <x:c r="G4" s="22" t="str">
        <x:v>Used-ingredient cost (USD)</x:v>
      </x:c>
      <x:c r="H4" s="14"/>
      <x:c r="I4" s="14"/>
      <x:c r="J4" s="1"/>
      <x:c r="K4" s="1"/>
      <x:c r="L4" s="1"/>
    </x:row>
    <x:row r="5" ht="24" customHeight="1">
      <x:c r="A5" s="1" t="str">
        <x:v>Spaghetti (dry)</x:v>
      </x:c>
      <x:c r="B5" s="7" t="n">
        <x:v>200</x:v>
      </x:c>
      <x:c r="C5" s="7" t="n">
        <x:v>100</x:v>
      </x:c>
      <x:c r="D5" s="7" t="n">
        <x:v>500</x:v>
      </x:c>
      <x:c r="E5" s="9" t="n">
        <x:v>2.5</x:v>
      </x:c>
      <x:c r="F5" s="8" t="n">
        <x:f>B5*'Setup'!$B$6/'Setup'!$B$5</x:f>
        <x:v>600</x:v>
      </x:c>
      <x:c r="G5" s="10" t="n">
        <x:f>F5/D5*E5</x:f>
        <x:v>3</x:v>
      </x:c>
      <x:c r="H5" s="1"/>
      <x:c r="I5" s="1"/>
      <x:c r="J5" s="1"/>
      <x:c r="K5" s="1"/>
      <x:c r="L5" s="1"/>
    </x:row>
    <x:row r="6" ht="24" customHeight="1">
      <x:c r="A6" s="1" t="str">
        <x:v>Guanciale</x:v>
      </x:c>
      <x:c r="B6" s="7" t="n">
        <x:v>80</x:v>
      </x:c>
      <x:c r="C6" s="7" t="n">
        <x:v>20</x:v>
      </x:c>
      <x:c r="D6" s="7" t="n">
        <x:v>100</x:v>
      </x:c>
      <x:c r="E6" s="9" t="n">
        <x:v>4</x:v>
      </x:c>
      <x:c r="F6" s="8" t="n">
        <x:f>B6*'Setup'!$B$6/'Setup'!$B$5</x:f>
        <x:v>240</x:v>
      </x:c>
      <x:c r="G6" s="10" t="n">
        <x:f>F6/D6*E6</x:f>
        <x:v>9.6</x:v>
      </x:c>
      <x:c r="H6" s="1"/>
      <x:c r="I6" s="1"/>
      <x:c r="J6" s="1"/>
      <x:c r="K6" s="1"/>
      <x:c r="L6" s="1"/>
    </x:row>
    <x:row r="7" ht="24" customHeight="1">
      <x:c r="A7" s="1" t="str">
        <x:v>Egg yolks</x:v>
      </x:c>
      <x:c r="B7" s="7" t="n">
        <x:v>36</x:v>
      </x:c>
      <x:c r="C7" s="7" t="n">
        <x:v>0</x:v>
      </x:c>
      <x:c r="D7" s="7" t="n">
        <x:v>36</x:v>
      </x:c>
      <x:c r="E7" s="9" t="n">
        <x:v>0.54</x:v>
      </x:c>
      <x:c r="F7" s="8" t="n">
        <x:f>B7*'Setup'!$B$6/'Setup'!$B$5</x:f>
        <x:v>108</x:v>
      </x:c>
      <x:c r="G7" s="10" t="n">
        <x:f>F7/D7*E7</x:f>
        <x:v>1.62</x:v>
      </x:c>
      <x:c r="H7" s="1"/>
      <x:c r="I7" s="1"/>
      <x:c r="J7" s="1"/>
      <x:c r="K7" s="1"/>
      <x:c r="L7" s="1"/>
    </x:row>
    <x:row r="8" ht="24" customHeight="1">
      <x:c r="A8" s="1" t="str">
        <x:v>Pecorino Romano</x:v>
      </x:c>
      <x:c r="B8" s="7" t="n">
        <x:v>40</x:v>
      </x:c>
      <x:c r="C8" s="7" t="n">
        <x:v>10</x:v>
      </x:c>
      <x:c r="D8" s="7" t="n">
        <x:v>100</x:v>
      </x:c>
      <x:c r="E8" s="9" t="n">
        <x:v>3.5</x:v>
      </x:c>
      <x:c r="F8" s="8" t="n">
        <x:f>B8*'Setup'!$B$6/'Setup'!$B$5</x:f>
        <x:v>120</x:v>
      </x:c>
      <x:c r="G8" s="10" t="n">
        <x:f>F8/D8*E8</x:f>
        <x:v>4.2</x:v>
      </x:c>
      <x:c r="H8" s="1"/>
      <x:c r="I8" s="1"/>
      <x:c r="J8" s="1"/>
      <x:c r="K8" s="1"/>
      <x:c r="L8" s="1"/>
    </x:row>
    <x:row r="9" ht="24" customHeight="1">
      <x:c r="A9" s="1" t="str">
        <x:v>Black pepper</x:v>
      </x:c>
      <x:c r="B9" s="7" t="n">
        <x:v>1</x:v>
      </x:c>
      <x:c r="C9" s="7" t="n">
        <x:v>2</x:v>
      </x:c>
      <x:c r="D9" s="7" t="n">
        <x:v>50</x:v>
      </x:c>
      <x:c r="E9" s="9" t="n">
        <x:v>2.5</x:v>
      </x:c>
      <x:c r="F9" s="8" t="n">
        <x:f>B9*'Setup'!$B$6/'Setup'!$B$5</x:f>
        <x:v>3</x:v>
      </x:c>
      <x:c r="G9" s="10" t="n">
        <x:f>F9/D9*E9</x:f>
        <x:v>0.15</x:v>
      </x:c>
      <x:c r="H9" s="1"/>
      <x:c r="I9" s="1"/>
      <x:c r="J9" s="1"/>
      <x:c r="K9" s="1"/>
      <x:c r="L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 t="str">
        <x:v>Source: fixed illustrative data supplied for this meal plan.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 t="str">
        <x:v>Used cost values the full recipe quantity, including stock used.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pageMargins left="0.7" right="0.7" top="0.75" bottom="0.75" header="0.3" footer="0.3"/>
  <x:tableParts count="1">
    <x:tablePart xmlns:r="http://schemas.openxmlformats.org/officeDocument/2006/relationships" r:id="R51ce1ceef47a4605"/>
  </x:tableParts>
</x:worksheet>
</file>

<file path=xl/worksheets/sheet3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Carbonara 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22" t="str">
        <x:v>Ingredient</x:v>
      </x:c>
      <x:c r="B4" s="22" t="str">
        <x:v>Required quantity (g)</x:v>
      </x:c>
      <x:c r="C4" s="22" t="str">
        <x:v>Stock available (g)</x:v>
      </x:c>
      <x:c r="D4" s="22" t="str">
        <x:v>Additional needed (g)</x:v>
      </x:c>
      <x:c r="E4" s="22" t="str">
        <x:v>Package size (g)</x:v>
      </x:c>
      <x:c r="F4" s="22" t="str">
        <x:v>Packages to buy</x:v>
      </x:c>
      <x:c r="G4" s="22" t="str">
        <x:v>Purchase cost (USD)</x:v>
      </x:c>
      <x:c r="H4" s="22" t="str">
        <x:v>Stock after cooking (g)</x:v>
      </x:c>
      <x:c r="I4" s="22" t="str">
        <x:v>Used-ingredient cost (USD)</x:v>
      </x:c>
      <x:c r="J4" s="1"/>
      <x:c r="K4" s="1"/>
      <x:c r="L4" s="1"/>
    </x:row>
    <x:row r="5" ht="24" customHeight="1">
      <x:c r="A5" s="1" t="str">
        <x:f>'Ingredients'!A5</x:f>
        <x:v>Spaghetti (dry)</x:v>
      </x:c>
      <x:c r="B5" s="8" t="n">
        <x:f>'Ingredients'!F5</x:f>
        <x:v>600</x:v>
      </x:c>
      <x:c r="C5" s="8" t="n">
        <x:f>'Ingredients'!C5</x:f>
        <x:v>100</x:v>
      </x:c>
      <x:c r="D5" s="8" t="n">
        <x:f>MAX(B5-C5,0)</x:f>
        <x:v>500</x:v>
      </x:c>
      <x:c r="E5" s="8" t="n">
        <x:f>'Ingredients'!D5</x:f>
        <x:v>500</x:v>
      </x:c>
      <x:c r="F5" s="11" t="n">
        <x:f>ROUNDUP(D5/E5,0)</x:f>
        <x:v>1</x:v>
      </x:c>
      <x:c r="G5" s="10" t="n">
        <x:f>F5*'Ingredients'!E5</x:f>
        <x:v>2.5</x:v>
      </x:c>
      <x:c r="H5" s="8" t="n">
        <x:f>C5+F5*E5-B5</x:f>
        <x:v>0</x:v>
      </x:c>
      <x:c r="I5" s="10" t="n">
        <x:f>'Ingredients'!G5</x:f>
        <x:v>3</x:v>
      </x:c>
      <x:c r="J5" s="1"/>
      <x:c r="K5" s="1"/>
      <x:c r="L5" s="1"/>
    </x:row>
    <x:row r="6" ht="24" customHeight="1">
      <x:c r="A6" s="1" t="str">
        <x:f>'Ingredients'!A6</x:f>
        <x:v>Guanciale</x:v>
      </x:c>
      <x:c r="B6" s="8" t="n">
        <x:f>'Ingredients'!F6</x:f>
        <x:v>240</x:v>
      </x:c>
      <x:c r="C6" s="8" t="n">
        <x:f>'Ingredients'!C6</x:f>
        <x:v>20</x:v>
      </x:c>
      <x:c r="D6" s="8" t="n">
        <x:f>MAX(B6-C6,0)</x:f>
        <x:v>220</x:v>
      </x:c>
      <x:c r="E6" s="8" t="n">
        <x:f>'Ingredients'!D6</x:f>
        <x:v>100</x:v>
      </x:c>
      <x:c r="F6" s="11" t="n">
        <x:f>ROUNDUP(D6/E6,0)</x:f>
        <x:v>3</x:v>
      </x:c>
      <x:c r="G6" s="10" t="n">
        <x:f>F6*'Ingredients'!E6</x:f>
        <x:v>12</x:v>
      </x:c>
      <x:c r="H6" s="8" t="n">
        <x:f>C6+F6*E6-B6</x:f>
        <x:v>80</x:v>
      </x:c>
      <x:c r="I6" s="10" t="n">
        <x:f>'Ingredients'!G6</x:f>
        <x:v>9.6</x:v>
      </x:c>
      <x:c r="J6" s="1"/>
      <x:c r="K6" s="1"/>
      <x:c r="L6" s="1"/>
    </x:row>
    <x:row r="7" ht="24" customHeight="1">
      <x:c r="A7" s="1" t="str">
        <x:f>'Ingredients'!A7</x:f>
        <x:v>Egg yolks</x:v>
      </x:c>
      <x:c r="B7" s="8" t="n">
        <x:f>'Ingredients'!F7</x:f>
        <x:v>108</x:v>
      </x:c>
      <x:c r="C7" s="8" t="n">
        <x:f>'Ingredients'!C7</x:f>
        <x:v>0</x:v>
      </x:c>
      <x:c r="D7" s="8" t="n">
        <x:f>MAX(B7-C7,0)</x:f>
        <x:v>108</x:v>
      </x:c>
      <x:c r="E7" s="8" t="n">
        <x:f>'Ingredients'!D7</x:f>
        <x:v>36</x:v>
      </x:c>
      <x:c r="F7" s="11" t="n">
        <x:f>ROUNDUP(D7/E7,0)</x:f>
        <x:v>3</x:v>
      </x:c>
      <x:c r="G7" s="10" t="n">
        <x:f>F7*'Ingredients'!E7</x:f>
        <x:v>1.62</x:v>
      </x:c>
      <x:c r="H7" s="8" t="n">
        <x:f>C7+F7*E7-B7</x:f>
        <x:v>0</x:v>
      </x:c>
      <x:c r="I7" s="10" t="n">
        <x:f>'Ingredients'!G7</x:f>
        <x:v>1.62</x:v>
      </x:c>
      <x:c r="J7" s="1"/>
      <x:c r="K7" s="1"/>
      <x:c r="L7" s="1"/>
    </x:row>
    <x:row r="8" ht="24" customHeight="1">
      <x:c r="A8" s="1" t="str">
        <x:f>'Ingredients'!A8</x:f>
        <x:v>Pecorino Romano</x:v>
      </x:c>
      <x:c r="B8" s="8" t="n">
        <x:f>'Ingredients'!F8</x:f>
        <x:v>120</x:v>
      </x:c>
      <x:c r="C8" s="8" t="n">
        <x:f>'Ingredients'!C8</x:f>
        <x:v>10</x:v>
      </x:c>
      <x:c r="D8" s="8" t="n">
        <x:f>MAX(B8-C8,0)</x:f>
        <x:v>110</x:v>
      </x:c>
      <x:c r="E8" s="8" t="n">
        <x:f>'Ingredients'!D8</x:f>
        <x:v>100</x:v>
      </x:c>
      <x:c r="F8" s="11" t="n">
        <x:f>ROUNDUP(D8/E8,0)</x:f>
        <x:v>2</x:v>
      </x:c>
      <x:c r="G8" s="10" t="n">
        <x:f>F8*'Ingredients'!E8</x:f>
        <x:v>7</x:v>
      </x:c>
      <x:c r="H8" s="8" t="n">
        <x:f>C8+F8*E8-B8</x:f>
        <x:v>90</x:v>
      </x:c>
      <x:c r="I8" s="10" t="n">
        <x:f>'Ingredients'!G8</x:f>
        <x:v>4.2</x:v>
      </x:c>
      <x:c r="J8" s="1"/>
      <x:c r="K8" s="1"/>
      <x:c r="L8" s="1"/>
    </x:row>
    <x:row r="9" ht="24" customHeight="1">
      <x:c r="A9" s="1" t="str">
        <x:f>'Ingredients'!A9</x:f>
        <x:v>Black pepper</x:v>
      </x:c>
      <x:c r="B9" s="8" t="n">
        <x:f>'Ingredients'!F9</x:f>
        <x:v>3</x:v>
      </x:c>
      <x:c r="C9" s="8" t="n">
        <x:f>'Ingredients'!C9</x:f>
        <x:v>2</x:v>
      </x:c>
      <x:c r="D9" s="8" t="n">
        <x:f>MAX(B9-C9,0)</x:f>
        <x:v>1</x:v>
      </x:c>
      <x:c r="E9" s="8" t="n">
        <x:f>'Ingredients'!D9</x:f>
        <x:v>50</x:v>
      </x:c>
      <x:c r="F9" s="11" t="n">
        <x:f>ROUNDUP(D9/E9,0)</x:f>
        <x:v>1</x:v>
      </x:c>
      <x:c r="G9" s="10" t="n">
        <x:f>F9*'Ingredients'!E9</x:f>
        <x:v>2.5</x:v>
      </x:c>
      <x:c r="H9" s="8" t="n">
        <x:f>C9+F9*E9-B9</x:f>
        <x:v>49</x:v>
      </x:c>
      <x:c r="I9" s="10" t="n">
        <x:f>'Ingredients'!G9</x:f>
        <x:v>0.15</x:v>
      </x:c>
      <x:c r="J9" s="1"/>
      <x:c r="K9" s="1"/>
      <x:c r="L9" s="1"/>
    </x:row>
    <x:row r="10" ht="24" customHeight="1">
      <x:c r="A10" s="1"/>
      <x:c r="B10" s="1"/>
      <x:c r="C10" s="1"/>
      <x:c r="D10" s="1"/>
      <x:c r="E10" s="1"/>
      <x:c r="F10" s="1"/>
      <x:c r="G10" s="10"/>
      <x:c r="H10" s="1"/>
      <x:c r="I10" s="10"/>
      <x:c r="J10" s="1"/>
      <x:c r="K10" s="1"/>
      <x:c r="L10" s="1"/>
    </x:row>
    <x:row r="11" ht="24" customHeight="1">
      <x:c r="A11" s="12" t="str">
        <x:v>Total</x:v>
      </x:c>
      <x:c r="B11" s="12"/>
      <x:c r="C11" s="12"/>
      <x:c r="D11" s="12"/>
      <x:c r="E11" s="12"/>
      <x:c r="F11" s="12"/>
      <x:c r="G11" s="13" t="n">
        <x:f>SUM(G5:G9)</x:f>
        <x:v>25.62</x:v>
      </x:c>
      <x:c r="H11" s="12"/>
      <x:c r="I11" s="13" t="n">
        <x:f>SUM(I5:I9)</x:f>
        <x:v>18.569999999999997</x:v>
      </x:c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 t="str">
        <x:v>Desired servings</x:v>
      </x:c>
      <x:c r="B13" s="1" t="n">
        <x:f>'Setup'!B6</x:f>
        <x:v>6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A5:I9">
    <x:cfRule type="expression" dxfId="0" priority="1">
      <x:formula>$F5&gt;0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3" hidden="0" customWidth="1"/>
    <x:col min="4" max="4" width="25" hidden="0" customWidth="1"/>
    <x:col min="5" max="5" width="23" hidden="0" customWidth="1"/>
    <x:col min="6" max="6" width="23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Carbonara meal cost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8" t="str">
        <x:v>Metric</x:v>
      </x:c>
      <x:c r="B4" s="18" t="str">
        <x:v>Value</x:v>
      </x:c>
      <x:c r="C4" s="1"/>
      <x:c r="D4" s="18" t="str">
        <x:v>Ingredient</x:v>
      </x:c>
      <x:c r="E4" s="18" t="str">
        <x:v>Purchase cost (USD)</x:v>
      </x:c>
      <x:c r="F4" s="18" t="str">
        <x:v>Used cost (USD)</x:v>
      </x:c>
      <x:c r="G4" s="1"/>
      <x:c r="H4" s="1"/>
      <x:c r="I4" s="1"/>
      <x:c r="J4" s="1"/>
      <x:c r="K4" s="1"/>
      <x:c r="L4" s="1"/>
    </x:row>
    <x:row r="5" ht="24" customHeight="1">
      <x:c r="A5" s="1" t="str">
        <x:v>Desired servings</x:v>
      </x:c>
      <x:c r="B5" s="1" t="n">
        <x:f>'Setup'!B6</x:f>
        <x:v>6</x:v>
      </x:c>
      <x:c r="C5" s="1"/>
      <x:c r="D5" s="1" t="str">
        <x:f>'ShoppingList'!A5</x:f>
        <x:v>Spaghetti (dry)</x:v>
      </x:c>
      <x:c r="E5" s="10" t="n">
        <x:f>'ShoppingList'!G5</x:f>
        <x:v>2.5</x:v>
      </x:c>
      <x:c r="F5" s="10" t="n">
        <x:f>'ShoppingList'!I5</x:f>
        <x:v>3</x:v>
      </x:c>
      <x:c r="G5" s="1"/>
      <x:c r="H5" s="1"/>
      <x:c r="I5" s="1"/>
      <x:c r="J5" s="1"/>
      <x:c r="K5" s="1"/>
      <x:c r="L5" s="1"/>
    </x:row>
    <x:row r="6" ht="24" customHeight="1">
      <x:c r="A6" s="1" t="str">
        <x:v>Used-ingredient cost</x:v>
      </x:c>
      <x:c r="B6" s="10" t="n">
        <x:f>'ShoppingList'!I11</x:f>
        <x:v>18.569999999999997</x:v>
      </x:c>
      <x:c r="C6" s="1"/>
      <x:c r="D6" s="1" t="str">
        <x:f>'ShoppingList'!A6</x:f>
        <x:v>Guanciale</x:v>
      </x:c>
      <x:c r="E6" s="10" t="n">
        <x:f>'ShoppingList'!G6</x:f>
        <x:v>12</x:v>
      </x:c>
      <x:c r="F6" s="10" t="n">
        <x:f>'ShoppingList'!I6</x:f>
        <x:v>9.6</x:v>
      </x:c>
      <x:c r="G6" s="1"/>
      <x:c r="H6" s="1"/>
      <x:c r="I6" s="1"/>
      <x:c r="J6" s="1"/>
      <x:c r="K6" s="1"/>
      <x:c r="L6" s="1"/>
    </x:row>
    <x:row r="7" ht="24" customHeight="1">
      <x:c r="A7" s="1" t="str">
        <x:v>Used cost per serving</x:v>
      </x:c>
      <x:c r="B7" s="10" t="n">
        <x:f>B6/B5</x:f>
        <x:v>3.0949999999999993</x:v>
      </x:c>
      <x:c r="C7" s="1"/>
      <x:c r="D7" s="1" t="str">
        <x:f>'ShoppingList'!A7</x:f>
        <x:v>Egg yolks</x:v>
      </x:c>
      <x:c r="E7" s="10" t="n">
        <x:f>'ShoppingList'!G7</x:f>
        <x:v>1.62</x:v>
      </x:c>
      <x:c r="F7" s="10" t="n">
        <x:f>'ShoppingList'!I7</x:f>
        <x:v>1.62</x:v>
      </x:c>
      <x:c r="G7" s="1"/>
      <x:c r="H7" s="1"/>
      <x:c r="I7" s="1"/>
      <x:c r="J7" s="1"/>
      <x:c r="K7" s="1"/>
      <x:c r="L7" s="1"/>
    </x:row>
    <x:row r="8" ht="24" customHeight="1">
      <x:c r="A8" s="1" t="str">
        <x:v>Total purchase cost</x:v>
      </x:c>
      <x:c r="B8" s="10" t="n">
        <x:f>'ShoppingList'!G11</x:f>
        <x:v>25.62</x:v>
      </x:c>
      <x:c r="C8" s="1"/>
      <x:c r="D8" s="1" t="str">
        <x:f>'ShoppingList'!A8</x:f>
        <x:v>Pecorino Romano</x:v>
      </x:c>
      <x:c r="E8" s="10" t="n">
        <x:f>'ShoppingList'!G8</x:f>
        <x:v>7</x:v>
      </x:c>
      <x:c r="F8" s="10" t="n">
        <x:f>'ShoppingList'!I8</x:f>
        <x:v>4.2</x:v>
      </x:c>
      <x:c r="G8" s="1"/>
      <x:c r="H8" s="1"/>
      <x:c r="I8" s="1"/>
      <x:c r="J8" s="1"/>
      <x:c r="K8" s="1"/>
      <x:c r="L8" s="1"/>
    </x:row>
    <x:row r="9" ht="24" customHeight="1">
      <x:c r="A9" s="1" t="str">
        <x:v>Shopping budget</x:v>
      </x:c>
      <x:c r="B9" s="10" t="n">
        <x:f>'Setup'!B7</x:f>
        <x:v>20</x:v>
      </x:c>
      <x:c r="C9" s="1"/>
      <x:c r="D9" s="1" t="str">
        <x:f>'ShoppingList'!A9</x:f>
        <x:v>Black pepper</x:v>
      </x:c>
      <x:c r="E9" s="10" t="n">
        <x:f>'ShoppingList'!G9</x:f>
        <x:v>2.5</x:v>
      </x:c>
      <x:c r="F9" s="10" t="n">
        <x:f>'ShoppingList'!I9</x:f>
        <x:v>0.15</x:v>
      </x:c>
      <x:c r="G9" s="1"/>
      <x:c r="H9" s="1"/>
      <x:c r="I9" s="1"/>
      <x:c r="J9" s="1"/>
      <x:c r="K9" s="1"/>
      <x:c r="L9" s="1"/>
    </x:row>
    <x:row r="10" ht="24" customHeight="1">
      <x:c r="A10" s="1" t="str">
        <x:v>Budget remaining</x:v>
      </x:c>
      <x:c r="B10" s="10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" t="str">
        <x:v>Budget 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B8:B8">
    <x:cfRule type="expression" dxfId="1" priority="1">
      <x:formula>B8&gt;B9</x:formula>
    </x:cfRule>
  </x:conditionalFormatting>
  <x:conditionalFormatting sqref="B11:B11">
    <x:cfRule type="expression" dxfId="2" priority="2">
      <x:formula>B8&gt;B9</x:formula>
    </x:cfRule>
  </x:conditionalFormatting>
  <x:conditionalFormatting sqref="D5:F9">
    <x:cfRule type="expression" dxfId="3" priority="3">
      <x:formula>$E5&gt;0</x:formula>
    </x:cfRule>
  </x:conditionalFormatting>
  <x:pageMargins left="0.7" right="0.7" top="0.75" bottom="0.75" header="0.3" footer="0.3"/>
  <x:drawing xmlns:r="http://schemas.openxmlformats.org/officeDocument/2006/relationships" r:id="Rfa9044a339d74104"/>
</x:worksheet>
</file>