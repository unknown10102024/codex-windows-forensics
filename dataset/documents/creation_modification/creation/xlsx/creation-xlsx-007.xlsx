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9df45b5d54db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up" sheetId="1" r:id="R2636650283d749f6"/>
    <sheet name="Ingredients" sheetId="2" r:id="R3cc7fac4367f4d53"/>
    <sheet name="ShoppingList" sheetId="3" r:id="R2780106ee20e43fe"/>
    <sheet name="Dashboard" sheetId="4" r:id="Raa64947482b74a94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-&quot;$&quot;#,##0.00;&quot;$&quot;0.00"/>
    <x:numFmt numFmtId="202" formatCode="#,##0.0;[Red]-#,##0.0;0.0"/>
  </x:numFmts>
  <x:fonts count="6">
    <x:font>
      <x:sz val="11"/>
      <x:name val="Carlito"/>
    </x:font>
    <x:font>
      <x:sz val="11"/>
      <x:color rgb="FF23352C"/>
      <x:name val="Arial"/>
    </x:font>
    <x:font>
      <x:b/>
      <x:sz val="17"/>
      <x:color rgb="FF385947"/>
      <x:name val="Arial"/>
    </x:font>
    <x:font>
      <x:i/>
      <x:sz val="11"/>
      <x:color rgb="FF647068"/>
      <x:name val="Arial"/>
    </x:font>
    <x:font>
      <x:b/>
      <x:sz val="11"/>
      <x:color rgb="FF23352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DF3EE"/>
      </x:patternFill>
    </x:fill>
    <x:fill>
      <x:patternFill patternType="solid">
        <x:fgColor rgb="FF385947"/>
      </x:patternFill>
    </x:fill>
  </x:fills>
  <x:borders count="6">
    <x:border/>
    <x:border>
      <x:bottom style="thin">
        <x:color rgb="FFC4D2C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385947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horizontal="right" vertical="center"/>
    </x:xf>
    <x:xf numFmtId="201" fontId="4" fillId="3" borderId="5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ill>
        <x:patternFill patternType="solid">
          <x:bgColor rgb="FFEDF3EE"/>
        </x:patternFill>
      </x:fill>
    </x:dxf>
    <x:dxf>
      <x:font>
        <x:b/>
        <x:color rgb="FF385947"/>
      </x:font>
    </x:dxf>
    <x:dxf>
      <x:font>
        <x:b/>
        <x:color rgb="FF9C2733"/>
      </x:font>
      <x:fill>
        <x:patternFill patternType="solid">
          <x:bgColor rgb="FFFBE8E8"/>
        </x:patternFill>
      </x:fill>
    </x:dxf>
    <x:dxf>
      <x:font>
        <x:b/>
        <x:color rgb="FF9C2733"/>
      </x:font>
      <x:fill>
        <x:patternFill patternType="solid">
          <x:bgColor rgb="FFFBE8E8"/>
        </x:patternFill>
      </x:fill>
    </x:dxf>
    <x:dxf>
      <x:font>
        <x:b/>
        <x:color rgb="FF9C2733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a0968b46c4f2b" /><Relationship Type="http://schemas.openxmlformats.org/officeDocument/2006/relationships/theme" Target="/xl/theme/theme1.xml" Id="R31e4f6c9e6f04eb9" /><Relationship Type="http://schemas.openxmlformats.org/officeDocument/2006/relationships/sharedStrings" Target="/xl/sharedStrings.xml" Id="Rbb3ed09a82414121" /><Relationship Type="http://schemas.openxmlformats.org/officeDocument/2006/relationships/worksheet" Target="/xl/worksheets/sheet1.xml" Id="R2636650283d749f6" /><Relationship Type="http://schemas.openxmlformats.org/officeDocument/2006/relationships/worksheet" Target="/xl/worksheets/sheet2.xml" Id="R3cc7fac4367f4d53" /><Relationship Type="http://schemas.openxmlformats.org/officeDocument/2006/relationships/worksheet" Target="/xl/worksheets/sheet3.xml" Id="R2780106ee20e43fe" /><Relationship Type="http://schemas.openxmlformats.org/officeDocument/2006/relationships/worksheet" Target="/xl/worksheets/sheet4.xml" Id="Raa64947482b74a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8c45a5f9e14cf9" /><Relationship Type="http://schemas.openxmlformats.org/officeDocument/2006/relationships/chart" Target="/xl/drawings/charts/chart2.xml" Id="Rda61b581b6034b72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anchorCtr="1"/>
        <a:lstStyle/>
        <a:p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85947"/>
            </a:solidFill>
          </c:spPr>
          <c:cat>
            <c:strRef>
              <c:f>'Dashboard'!$A$30:$A$34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'Dashboard'!$B$30:$B$34</c:f>
              <c:numCache>
                <c:formatCode>"$"#,##0.00;[Red]-"$"#,##0.00;"$"0.00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anchorCtr="1"/>
        <a:lstStyle/>
        <a:p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'Dashboard'!$A$30:$A$34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'Dashboard'!$C$30:$C$34</c:f>
              <c:numCache>
                <c:formatCode>"$"#,##0.00;[Red]-"$"#,##0.00;"$"0.00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</c:ser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13</xdr:row>
      <xdr:rowOff>0</xdr:rowOff>
    </xdr:from>
    <xdr:ext cx="6477000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c45a5f9e14cf9"/>
        </a:graphicData>
      </a:graphic>
    </xdr:graphicFrame>
    <xdr:clientData/>
  </xdr:oneCellAnchor>
  <xdr:oneCellAnchor>
    <xdr:from>
      <xdr:col>5</xdr:col>
      <xdr:colOff>0</xdr:colOff>
      <xdr:row>13</xdr:row>
      <xdr:rowOff>0</xdr:rowOff>
    </xdr:from>
    <xdr:ext cx="466725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61b581b6034b72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CarbonaraIngredients" displayName="CarbonaraIngredients" ref="A7:G12" headerRowCount="1" totalsRowCount="0" totalsRowShown="0">
  <x:autoFilter ref="A7:G12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9557f0d182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677839a465b4706" /></Relationships>
</file>

<file path=xl/worksheets/sheet1.xml><?xml version="1.0" encoding="utf-8"?>
<x:worksheet xmlns:x="http://schemas.openxmlformats.org/spreadsheetml/2006/main">
  <x:sheetPr>
    <x:tabColor rgb="FF78998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3" hidden="0" customWidth="1"/>
    <x:col min="4" max="4" width="56" hidden="0" customWidth="1"/>
    <x:col min="5" max="5" width="4" hidden="0" customWidth="1"/>
  </x:cols>
  <x:sheetData>
    <x:row r="1" ht="10" customHeight="1">
      <x:c r="A1" s="2"/>
      <x:c r="B1" s="2"/>
      <x:c r="C1" s="2"/>
      <x:c r="D1" s="2"/>
      <x:c r="E1" s="2"/>
    </x:row>
    <x:row r="2" ht="33" customHeight="1">
      <x:c r="A2" s="4" t="str">
        <x:v>Carbonara meal setup</x:v>
      </x:c>
      <x:c r="B2" s="5"/>
      <x:c r="C2" s="5"/>
      <x:c r="D2" s="5"/>
      <x:c r="E2" s="2"/>
    </x:row>
    <x:row r="3" ht="25" customHeight="1">
      <x:c r="A3" s="6" t="str">
        <x:v>Change the amber cells to plan the meal.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25" customHeight="1">
      <x:c r="A5" s="2" t="str">
        <x:v>Base recipe servings</x:v>
      </x:c>
      <x:c r="B5" s="13" t="n">
        <x:v>2</x:v>
      </x:c>
      <x:c r="C5" s="2"/>
      <x:c r="D5" s="2" t="str">
        <x:v>Recipe quantities are based on 2 servings.</x:v>
      </x:c>
      <x:c r="E5" s="2"/>
    </x:row>
    <x:row r="6" ht="25" customHeight="1">
      <x:c r="A6" s="2" t="str">
        <x:v>Desired servings</x:v>
      </x:c>
      <x:c r="B6" s="11" t="n">
        <x:v>6</x:v>
      </x:c>
      <x:c r="C6" s="2"/>
      <x:c r="D6" s="2" t="str">
        <x:v>Enter a whole number from 1 through 20.</x:v>
      </x:c>
      <x:c r="E6" s="2"/>
    </x:row>
    <x:row r="7" ht="25" customHeight="1">
      <x:c r="A7" s="2" t="str">
        <x:v>Shopping budget (USD)</x:v>
      </x:c>
      <x:c r="B7" s="12" t="n">
        <x:v>20</x:v>
      </x:c>
      <x:c r="C7" s="2"/>
      <x:c r="D7" s="2" t="str">
        <x:v>Enter a budget of zero or more.</x:v>
      </x:c>
      <x:c r="E7" s="2"/>
    </x:row>
    <x:row r="8" ht="25" customHeight="1">
      <x:c r="A8" s="2"/>
      <x:c r="B8" s="2"/>
      <x:c r="C8" s="2"/>
      <x:c r="D8" s="2"/>
      <x:c r="E8" s="2"/>
    </x:row>
    <x:row r="9" ht="25" customHeight="1">
      <x:c r="A9" s="2"/>
      <x:c r="B9" s="2"/>
      <x:c r="C9" s="2"/>
      <x:c r="D9" s="2"/>
      <x:c r="E9" s="2"/>
    </x:row>
    <x:row r="10" ht="25" customHeight="1">
      <x:c r="A10" s="6" t="str">
        <x:v>Adjust quantities, stock and package prices in Ingredients.</x:v>
      </x:c>
      <x:c r="B10" s="2"/>
      <x:c r="C10" s="2"/>
      <x:c r="D10" s="2"/>
      <x:c r="E10" s="2"/>
    </x:row>
    <x:row r="11" ht="25" customHeight="1">
      <x:c r="A11" s="2"/>
      <x:c r="B11" s="2"/>
      <x:c r="C11" s="2"/>
      <x:c r="D11" s="2"/>
      <x:c r="E11" s="2"/>
    </x:row>
    <x:row r="12" ht="25" customHeight="1">
      <x:c r="A12" s="6" t="str">
        <x:v>All weights are in grams. Egg yolks exclude shells and egg whites.</x:v>
      </x:c>
      <x:c r="B12" s="2"/>
      <x:c r="C12" s="2"/>
      <x:c r="D12" s="2"/>
      <x:c r="E12" s="2"/>
    </x:row>
    <x:row r="13" ht="25" customHeight="1">
      <x:c r="A13" s="2"/>
      <x:c r="B13" s="2"/>
      <x:c r="C13" s="2"/>
      <x:c r="D13" s="2"/>
      <x:c r="E13" s="2"/>
    </x:row>
    <x:row r="14" ht="25" customHeight="1">
      <x:c r="A14" s="2"/>
      <x:c r="B14" s="2"/>
      <x:c r="C14" s="2"/>
      <x:c r="D14" s="2"/>
      <x:c r="E14" s="2"/>
    </x:row>
    <x:row r="15" ht="25" customHeight="1">
      <x:c r="A15" s="2"/>
      <x:c r="B15" s="2"/>
      <x:c r="C15" s="2"/>
      <x:c r="D15" s="2"/>
      <x:c r="E15" s="2"/>
    </x:row>
  </x:sheetData>
  <x:dataValidations count="2">
    <x:dataValidation type="whole" errorStyle="stop" operator="between" showErrorMessage="1" errorTitle="Invalid entry" error="Enter a whole number from 1 through 20." sqref="B6">
      <x:formula1>1</x:formula1>
      <x:formula2>20</x:formula2>
    </x:dataValidation>
    <x:dataValidation type="decimal" errorStyle="stop" operator="greaterThanOrEqual" showErrorMessage="1" errorTitle="Invalid entry" error="Enter a nonnegative budget in USD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21" hidden="0" customWidth="1"/>
    <x:col min="3" max="3" width="19" hidden="0" customWidth="1"/>
    <x:col min="4" max="4" width="19" hidden="0" customWidth="1"/>
    <x:col min="5" max="5" width="21" hidden="0" customWidth="1"/>
    <x:col min="6" max="6" width="21" hidden="0" customWidth="1"/>
    <x:col min="7" max="7" width="24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33" customHeight="1">
      <x:c r="A2" s="4" t="str">
        <x:v>Recipe and ingredient inputs</x:v>
      </x:c>
      <x:c r="B2" s="5"/>
      <x:c r="C2" s="5"/>
      <x:c r="D2" s="5"/>
      <x:c r="E2" s="5"/>
      <x:c r="F2" s="5"/>
      <x:c r="G2" s="5"/>
    </x:row>
    <x:row r="3" ht="25" customHeight="1">
      <x:c r="A3" s="6" t="str">
        <x:v>Source: supplied illustrative data. Prices are editable assumptions.</x:v>
      </x:c>
      <x:c r="B3" s="2"/>
      <x:c r="C3" s="2"/>
      <x:c r="D3" s="2"/>
      <x:c r="E3" s="2"/>
      <x:c r="F3" s="2"/>
      <x:c r="G3" s="2"/>
    </x:row>
    <x:row r="4" ht="25" customHeight="1">
      <x:c r="A4" s="6" t="str">
        <x:v>Base recipe: 2 servings. All weights are grams. Yolks exclude shells and whites.</x:v>
      </x:c>
      <x:c r="B4" s="2"/>
      <x:c r="C4" s="2"/>
      <x:c r="D4" s="2"/>
      <x:c r="E4" s="2"/>
      <x:c r="F4" s="2"/>
      <x:c r="G4" s="2"/>
    </x:row>
    <x:row r="5" ht="25" customHeight="1">
      <x:c r="A5" s="6" t="str">
        <x:v>Amber cells are inputs. The final two columns calculate automatically.</x:v>
      </x:c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44" customHeight="1">
      <x:c r="A7" s="22" t="str">
        <x:v>Ingredient</x:v>
      </x:c>
      <x:c r="B7" s="23" t="str">
        <x:v>Base quantity (g)</x:v>
      </x:c>
      <x:c r="C7" s="23" t="str">
        <x:v>Stock available (g)</x:v>
      </x:c>
      <x:c r="D7" s="23" t="str">
        <x:v>Package size (g)</x:v>
      </x:c>
      <x:c r="E7" s="23" t="str">
        <x:v>Package price (USD)</x:v>
      </x:c>
      <x:c r="F7" s="23" t="str">
        <x:v>Required quantity (g)</x:v>
      </x:c>
      <x:c r="G7" s="24" t="str">
        <x:v>Used-ingredient cost (USD)</x:v>
      </x:c>
    </x:row>
    <x:row r="8" ht="25" customHeight="1">
      <x:c r="A8" s="25" t="str">
        <x:v>Spaghetti (dry)</x:v>
      </x:c>
      <x:c r="B8" s="30" t="n">
        <x:v>200</x:v>
      </x:c>
      <x:c r="C8" s="30" t="n">
        <x:v>100</x:v>
      </x:c>
      <x:c r="D8" s="30" t="n">
        <x:v>500</x:v>
      </x:c>
      <x:c r="E8" s="31" t="n">
        <x:v>2.5</x:v>
      </x:c>
      <x:c r="F8" s="32" t="n">
        <x:f>B8*'Setup'!$B$6/'Setup'!$B$5</x:f>
        <x:v>600</x:v>
      </x:c>
      <x:c r="G8" s="33" t="n">
        <x:f>F8/D8*E8</x:f>
        <x:v>3</x:v>
      </x:c>
    </x:row>
    <x:row r="9" ht="25" customHeight="1">
      <x:c r="A9" s="25" t="str">
        <x:v>Guanciale</x:v>
      </x:c>
      <x:c r="B9" s="30" t="n">
        <x:v>80</x:v>
      </x:c>
      <x:c r="C9" s="30" t="n">
        <x:v>20</x:v>
      </x:c>
      <x:c r="D9" s="30" t="n">
        <x:v>100</x:v>
      </x:c>
      <x:c r="E9" s="31" t="n">
        <x:v>4</x:v>
      </x:c>
      <x:c r="F9" s="32" t="n">
        <x:f>B9*'Setup'!$B$6/'Setup'!$B$5</x:f>
        <x:v>240</x:v>
      </x:c>
      <x:c r="G9" s="33" t="n">
        <x:f>F9/D9*E9</x:f>
        <x:v>9.6</x:v>
      </x:c>
    </x:row>
    <x:row r="10" ht="25" customHeight="1">
      <x:c r="A10" s="25" t="str">
        <x:v>Egg yolks</x:v>
      </x:c>
      <x:c r="B10" s="30" t="n">
        <x:v>36</x:v>
      </x:c>
      <x:c r="C10" s="30" t="n">
        <x:v>0</x:v>
      </x:c>
      <x:c r="D10" s="30" t="n">
        <x:v>36</x:v>
      </x:c>
      <x:c r="E10" s="31" t="n">
        <x:v>0.54</x:v>
      </x:c>
      <x:c r="F10" s="32" t="n">
        <x:f>B10*'Setup'!$B$6/'Setup'!$B$5</x:f>
        <x:v>108</x:v>
      </x:c>
      <x:c r="G10" s="33" t="n">
        <x:f>F10/D10*E10</x:f>
        <x:v>1.62</x:v>
      </x:c>
    </x:row>
    <x:row r="11" ht="25" customHeight="1">
      <x:c r="A11" s="25" t="str">
        <x:v>Pecorino Romano</x:v>
      </x:c>
      <x:c r="B11" s="30" t="n">
        <x:v>40</x:v>
      </x:c>
      <x:c r="C11" s="30" t="n">
        <x:v>10</x:v>
      </x:c>
      <x:c r="D11" s="30" t="n">
        <x:v>100</x:v>
      </x:c>
      <x:c r="E11" s="31" t="n">
        <x:v>3.5</x:v>
      </x:c>
      <x:c r="F11" s="32" t="n">
        <x:f>B11*'Setup'!$B$6/'Setup'!$B$5</x:f>
        <x:v>120</x:v>
      </x:c>
      <x:c r="G11" s="33" t="n">
        <x:f>F11/D11*E11</x:f>
        <x:v>4.2</x:v>
      </x:c>
    </x:row>
    <x:row r="12" ht="25" customHeight="1">
      <x:c r="A12" s="25" t="str">
        <x:v>Black pepper</x:v>
      </x:c>
      <x:c r="B12" s="30" t="n">
        <x:v>1</x:v>
      </x:c>
      <x:c r="C12" s="30" t="n">
        <x:v>2</x:v>
      </x:c>
      <x:c r="D12" s="30" t="n">
        <x:v>50</x:v>
      </x:c>
      <x:c r="E12" s="31" t="n">
        <x:v>2.5</x:v>
      </x:c>
      <x:c r="F12" s="32" t="n">
        <x:f>B12*'Setup'!$B$6/'Setup'!$B$5</x:f>
        <x:v>3</x:v>
      </x:c>
      <x:c r="G12" s="33" t="n">
        <x:f>F12/D12*E12</x:f>
        <x:v>0.15</x:v>
      </x:c>
    </x:row>
    <x:row r="13" ht="25" customHeight="1">
      <x:c r="A13" s="2"/>
      <x:c r="B13" s="2"/>
      <x:c r="C13" s="2"/>
      <x:c r="D13" s="2"/>
      <x:c r="E13" s="2"/>
      <x:c r="F13" s="2"/>
      <x:c r="G13" s="2"/>
    </x:row>
    <x:row r="14" ht="25" customHeight="1">
      <x:c r="A14" s="6" t="str">
        <x:v>Used cost = required quantity / package size × package price, including ingredients drawn from stock.</x:v>
      </x:c>
      <x:c r="B14" s="2"/>
      <x:c r="C14" s="2"/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25" customHeight="1">
      <x:c r="A16" s="2"/>
      <x:c r="B16" s="2"/>
      <x:c r="C16" s="2"/>
      <x:c r="D16" s="2"/>
      <x:c r="E16" s="2"/>
      <x:c r="F16" s="2"/>
      <x:c r="G16" s="2"/>
    </x:row>
  </x:sheetData>
  <x:dataValidations count="3">
    <x:dataValidation type="decimal" errorStyle="stop" operator="greaterThanOrEqual" showErrorMessage="1" errorTitle="Invalid entry" error="Enter a weight of zero or more." sqref="B8:C12">
      <x:formula1>0</x:formula1>
    </x:dataValidation>
    <x:dataValidation type="decimal" errorStyle="stop" operator="greaterThan" showErrorMessage="1" errorTitle="Invalid entry" error="Enter a package size greater than zero." sqref="D8:D12">
      <x:formula1>0</x:formula1>
    </x:dataValidation>
    <x:dataValidation type="decimal" errorStyle="stop" operator="greaterThanOrEqual" showErrorMessage="1" errorTitle="Invalid entry" error="Enter a price of zero or more." sqref="E8:E12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9557f0d1824fc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7" hidden="0" customWidth="1"/>
    <x:col min="5" max="5" width="16" hidden="0" customWidth="1"/>
    <x:col min="6" max="6" width="17" hidden="0" customWidth="1"/>
    <x:col min="7" max="7" width="16" hidden="0" customWidth="1"/>
    <x:col min="8" max="8" width="19" hidden="0" customWidth="1"/>
    <x:col min="9" max="9" width="19" hidden="0" customWidth="1"/>
    <x:col min="10" max="10" width="22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3" customHeight="1">
      <x:c r="A2" s="4" t="str">
        <x:v>Carbonara shopping list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Desired servings</x:v>
      </x:c>
      <x:c r="B4" s="7" t="n">
        <x:f>'Setup'!$B$6</x:f>
        <x:v>6</x:v>
      </x:c>
      <x:c r="C4" s="2"/>
      <x:c r="D4" s="6" t="str">
        <x:v>Green rows need a purchase. Zero-purchase rows stay visible.</x:v>
      </x:c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4" customHeight="1">
      <x:c r="A6" s="22" t="str">
        <x:v>Ingredient</x:v>
      </x:c>
      <x:c r="B6" s="23" t="str">
        <x:v>Required (g)</x:v>
      </x:c>
      <x:c r="C6" s="23" t="str">
        <x:v>Stock (g)</x:v>
      </x:c>
      <x:c r="D6" s="23" t="str">
        <x:v>Additional needed (g)</x:v>
      </x:c>
      <x:c r="E6" s="23" t="str">
        <x:v>Package size (g)</x:v>
      </x:c>
      <x:c r="F6" s="23" t="str">
        <x:v>Package price (USD)</x:v>
      </x:c>
      <x:c r="G6" s="23" t="str">
        <x:v>Packages to buy</x:v>
      </x:c>
      <x:c r="H6" s="23" t="str">
        <x:v>Purchase cost (USD)</x:v>
      </x:c>
      <x:c r="I6" s="23" t="str">
        <x:v>Stock after cooking (g)</x:v>
      </x:c>
      <x:c r="J6" s="24" t="str">
        <x:v>Used-ingredient cost (USD)</x:v>
      </x:c>
    </x:row>
    <x:row r="7" ht="25" customHeight="1">
      <x:c r="A7" s="2" t="str">
        <x:f>'Ingredients'!A8</x:f>
        <x:v>Spaghetti (dry)</x:v>
      </x:c>
      <x:c r="B7" s="35" t="n">
        <x:f>'Ingredients'!F8</x:f>
        <x:v>600</x:v>
      </x:c>
      <x:c r="C7" s="35" t="n">
        <x:f>'Ingredients'!C8</x:f>
        <x:v>100</x:v>
      </x:c>
      <x:c r="D7" s="35" t="n">
        <x:f>MAX(0,B7-C7)</x:f>
        <x:v>500</x:v>
      </x:c>
      <x:c r="E7" s="35" t="n">
        <x:f>'Ingredients'!D8</x:f>
        <x:v>500</x:v>
      </x:c>
      <x:c r="F7" s="36" t="n">
        <x:f>'Ingredients'!E8</x:f>
        <x:v>2.5</x:v>
      </x:c>
      <x:c r="G7" s="37" t="n">
        <x:f>ROUNDUP(D7/E7,0)</x:f>
        <x:v>1</x:v>
      </x:c>
      <x:c r="H7" s="36" t="n">
        <x:f>G7*F7</x:f>
        <x:v>2.5</x:v>
      </x:c>
      <x:c r="I7" s="35" t="n">
        <x:f>C7+G7*E7-B7</x:f>
        <x:v>0</x:v>
      </x:c>
      <x:c r="J7" s="36" t="n">
        <x:f>'Ingredients'!G8</x:f>
        <x:v>3</x:v>
      </x:c>
    </x:row>
    <x:row r="8" ht="25" customHeight="1">
      <x:c r="A8" s="2" t="str">
        <x:f>'Ingredients'!A9</x:f>
        <x:v>Guanciale</x:v>
      </x:c>
      <x:c r="B8" s="35" t="n">
        <x:f>'Ingredients'!F9</x:f>
        <x:v>240</x:v>
      </x:c>
      <x:c r="C8" s="35" t="n">
        <x:f>'Ingredients'!C9</x:f>
        <x:v>20</x:v>
      </x:c>
      <x:c r="D8" s="35" t="n">
        <x:f>MAX(0,B8-C8)</x:f>
        <x:v>220</x:v>
      </x:c>
      <x:c r="E8" s="35" t="n">
        <x:f>'Ingredients'!D9</x:f>
        <x:v>100</x:v>
      </x:c>
      <x:c r="F8" s="36" t="n">
        <x:f>'Ingredients'!E9</x:f>
        <x:v>4</x:v>
      </x:c>
      <x:c r="G8" s="37" t="n">
        <x:f>ROUNDUP(D8/E8,0)</x:f>
        <x:v>3</x:v>
      </x:c>
      <x:c r="H8" s="36" t="n">
        <x:f>G8*F8</x:f>
        <x:v>12</x:v>
      </x:c>
      <x:c r="I8" s="35" t="n">
        <x:f>C8+G8*E8-B8</x:f>
        <x:v>80</x:v>
      </x:c>
      <x:c r="J8" s="36" t="n">
        <x:f>'Ingredients'!G9</x:f>
        <x:v>9.6</x:v>
      </x:c>
    </x:row>
    <x:row r="9" ht="25" customHeight="1">
      <x:c r="A9" s="2" t="str">
        <x:f>'Ingredients'!A10</x:f>
        <x:v>Egg yolks</x:v>
      </x:c>
      <x:c r="B9" s="35" t="n">
        <x:f>'Ingredients'!F10</x:f>
        <x:v>108</x:v>
      </x:c>
      <x:c r="C9" s="35" t="n">
        <x:f>'Ingredients'!C10</x:f>
        <x:v>0</x:v>
      </x:c>
      <x:c r="D9" s="35" t="n">
        <x:f>MAX(0,B9-C9)</x:f>
        <x:v>108</x:v>
      </x:c>
      <x:c r="E9" s="35" t="n">
        <x:f>'Ingredients'!D10</x:f>
        <x:v>36</x:v>
      </x:c>
      <x:c r="F9" s="36" t="n">
        <x:f>'Ingredients'!E10</x:f>
        <x:v>0.54</x:v>
      </x:c>
      <x:c r="G9" s="37" t="n">
        <x:f>ROUNDUP(D9/E9,0)</x:f>
        <x:v>3</x:v>
      </x:c>
      <x:c r="H9" s="36" t="n">
        <x:f>G9*F9</x:f>
        <x:v>1.62</x:v>
      </x:c>
      <x:c r="I9" s="35" t="n">
        <x:f>C9+G9*E9-B9</x:f>
        <x:v>0</x:v>
      </x:c>
      <x:c r="J9" s="36" t="n">
        <x:f>'Ingredients'!G10</x:f>
        <x:v>1.62</x:v>
      </x:c>
    </x:row>
    <x:row r="10" ht="25" customHeight="1">
      <x:c r="A10" s="2" t="str">
        <x:f>'Ingredients'!A11</x:f>
        <x:v>Pecorino Romano</x:v>
      </x:c>
      <x:c r="B10" s="35" t="n">
        <x:f>'Ingredients'!F11</x:f>
        <x:v>120</x:v>
      </x:c>
      <x:c r="C10" s="35" t="n">
        <x:f>'Ingredients'!C11</x:f>
        <x:v>10</x:v>
      </x:c>
      <x:c r="D10" s="35" t="n">
        <x:f>MAX(0,B10-C10)</x:f>
        <x:v>110</x:v>
      </x:c>
      <x:c r="E10" s="35" t="n">
        <x:f>'Ingredients'!D11</x:f>
        <x:v>100</x:v>
      </x:c>
      <x:c r="F10" s="36" t="n">
        <x:f>'Ingredients'!E11</x:f>
        <x:v>3.5</x:v>
      </x:c>
      <x:c r="G10" s="37" t="n">
        <x:f>ROUNDUP(D10/E10,0)</x:f>
        <x:v>2</x:v>
      </x:c>
      <x:c r="H10" s="36" t="n">
        <x:f>G10*F10</x:f>
        <x:v>7</x:v>
      </x:c>
      <x:c r="I10" s="35" t="n">
        <x:f>C10+G10*E10-B10</x:f>
        <x:v>90</x:v>
      </x:c>
      <x:c r="J10" s="36" t="n">
        <x:f>'Ingredients'!G11</x:f>
        <x:v>4.2</x:v>
      </x:c>
    </x:row>
    <x:row r="11" ht="25" customHeight="1">
      <x:c r="A11" s="2" t="str">
        <x:f>'Ingredients'!A12</x:f>
        <x:v>Black pepper</x:v>
      </x:c>
      <x:c r="B11" s="35" t="n">
        <x:f>'Ingredients'!F12</x:f>
        <x:v>3</x:v>
      </x:c>
      <x:c r="C11" s="35" t="n">
        <x:f>'Ingredients'!C12</x:f>
        <x:v>2</x:v>
      </x:c>
      <x:c r="D11" s="35" t="n">
        <x:f>MAX(0,B11-C11)</x:f>
        <x:v>1</x:v>
      </x:c>
      <x:c r="E11" s="35" t="n">
        <x:f>'Ingredients'!D12</x:f>
        <x:v>50</x:v>
      </x:c>
      <x:c r="F11" s="36" t="n">
        <x:f>'Ingredients'!E12</x:f>
        <x:v>2.5</x:v>
      </x:c>
      <x:c r="G11" s="37" t="n">
        <x:f>ROUNDUP(D11/E11,0)</x:f>
        <x:v>1</x:v>
      </x:c>
      <x:c r="H11" s="36" t="n">
        <x:f>G11*F11</x:f>
        <x:v>2.5</x:v>
      </x:c>
      <x:c r="I11" s="35" t="n">
        <x:f>C11+G11*E11-B11</x:f>
        <x:v>49</x:v>
      </x:c>
      <x:c r="J11" s="36" t="n">
        <x:f>'Ingredients'!G12</x:f>
        <x:v>0.15</x:v>
      </x:c>
    </x:row>
    <x:row r="12" ht="25" customHeight="1">
      <x:c r="A12" s="2"/>
      <x:c r="B12" s="38"/>
      <x:c r="C12" s="38"/>
      <x:c r="D12" s="38"/>
      <x:c r="E12" s="38"/>
      <x:c r="F12" s="38"/>
      <x:c r="G12" s="38"/>
      <x:c r="H12" s="36"/>
      <x:c r="I12" s="38"/>
      <x:c r="J12" s="36"/>
    </x:row>
    <x:row r="13" ht="31" customHeight="1">
      <x:c r="A13" s="43" t="str">
        <x:v>Totals (USD)</x:v>
      </x:c>
      <x:c r="B13" s="44"/>
      <x:c r="C13" s="44"/>
      <x:c r="D13" s="44"/>
      <x:c r="E13" s="44"/>
      <x:c r="F13" s="44"/>
      <x:c r="G13" s="44"/>
      <x:c r="H13" s="45" t="n">
        <x:f>SUM(H7:H11)</x:f>
        <x:v>25.62</x:v>
      </x:c>
      <x:c r="I13" s="44"/>
      <x:c r="J13" s="45" t="n">
        <x:f>SUM(J7:J11)</x:f>
        <x:v>18.569999999999997</x:v>
      </x:c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6" t="str">
        <x:v>Additional quantity cannot fall below zero. Packages are rounded up to whole units.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5" customHeight="1">
      <x:c r="A16" s="6" t="str">
        <x:v>Stock after cooking = current stock + purchased quantity − required quantity.</x:v>
      </x:c>
      <x:c r="B16" s="2"/>
      <x:c r="C16" s="2"/>
      <x:c r="D16" s="2"/>
      <x:c r="E16" s="2"/>
      <x:c r="F16" s="2"/>
      <x:c r="G16" s="2"/>
      <x:c r="H16" s="2"/>
      <x:c r="I16" s="2"/>
      <x:c r="J16" s="2"/>
    </x:row>
  </x:sheetData>
  <x:conditionalFormatting sqref="A7:J11">
    <x:cfRule type="expression" dxfId="0" priority="1">
      <x:formula>$G7&gt;0</x:formula>
    </x:cfRule>
  </x:conditionalFormatting>
  <x:conditionalFormatting sqref="G7:H11">
    <x:cfRule type="expression" dxfId="1" priority="2">
      <x:formula>$G7&gt;0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85947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3" customHeight="1">
      <x:c r="A2" s="4" t="str">
        <x:v>Carbonara cost dashboard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5" customHeight="1">
      <x:c r="A3" s="6" t="str">
        <x:v>Meal and shopping costs in USD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9" customHeight="1">
      <x:c r="A5" s="2" t="str">
        <x:v>Desired servings</x:v>
      </x:c>
      <x:c r="B5" s="48" t="n">
        <x:f>'Setup'!B6</x:f>
        <x:v>6</x:v>
      </x:c>
      <x:c r="C5" s="2"/>
      <x:c r="D5" s="2"/>
      <x:c r="E5" s="6" t="str">
        <x:v>Used cost values the quantities cooked, including stock.</x:v>
      </x:c>
      <x:c r="F5" s="2"/>
      <x:c r="G5" s="2"/>
      <x:c r="H5" s="2"/>
      <x:c r="I5" s="2"/>
      <x:c r="J5" s="2"/>
      <x:c r="K5" s="2"/>
      <x:c r="L5" s="2"/>
    </x:row>
    <x:row r="6" ht="29" customHeight="1">
      <x:c r="A6" s="2" t="str">
        <x:v>Used-ingredient cost</x:v>
      </x:c>
      <x:c r="B6" s="42" t="n">
        <x:f>'ShoppingList'!J13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9" customHeight="1">
      <x:c r="A7" s="2" t="str">
        <x:v>Used cost per serving</x:v>
      </x:c>
      <x:c r="B7" s="42" t="n">
        <x:f>ROUND(ROUND(B6/B5,10),2)</x:f>
        <x:v>3.1</x:v>
      </x:c>
      <x:c r="C7" s="2"/>
      <x:c r="D7" s="2"/>
      <x:c r="E7" s="6" t="str">
        <x:v>Purchase cost is the cash needed for whole packages.</x:v>
      </x:c>
      <x:c r="F7" s="2"/>
      <x:c r="G7" s="2"/>
      <x:c r="H7" s="2"/>
      <x:c r="I7" s="2"/>
      <x:c r="J7" s="2"/>
      <x:c r="K7" s="2"/>
      <x:c r="L7" s="2"/>
    </x:row>
    <x:row r="8" ht="29" customHeight="1">
      <x:c r="A8" s="2" t="str">
        <x:v>Total purchase cost</x:v>
      </x:c>
      <x:c r="B8" s="42" t="n">
        <x:f>'ShoppingList'!H13</x:f>
        <x:v>25.62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9" customHeight="1">
      <x:c r="A9" s="2" t="str">
        <x:v>Shopping budget</x:v>
      </x:c>
      <x:c r="B9" s="42" t="n">
        <x:f>'Setup'!B7</x:f>
        <x:v>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9" customHeight="1">
      <x:c r="A10" s="2" t="str">
        <x:v>Budget remaining</x:v>
      </x:c>
      <x:c r="B10" s="42" t="n">
        <x:f>B9-B8</x:f>
        <x:v>-5.620000000000001</x:v>
      </x:c>
      <x:c r="C10" s="2"/>
      <x:c r="D10" s="2"/>
      <x:c r="E10" s="6" t="str">
        <x:v>Edit servings and budget on Setup.</x:v>
      </x:c>
      <x:c r="F10" s="2"/>
      <x:c r="G10" s="2"/>
      <x:c r="H10" s="2"/>
      <x:c r="I10" s="2"/>
      <x:c r="J10" s="2"/>
      <x:c r="K10" s="2"/>
      <x:c r="L10" s="2"/>
    </x:row>
    <x:row r="11" ht="29" customHeight="1">
      <x:c r="A11" s="2" t="str">
        <x:v>Budget status</x:v>
      </x:c>
      <x:c r="B11" s="49" t="str">
        <x:f>IF(B8&lt;=B9,"Within budget","Over budget")</x:f>
        <x:v>Over budget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44" customHeight="1">
      <x:c r="A29" s="22" t="str">
        <x:v>Ingredient</x:v>
      </x:c>
      <x:c r="B29" s="23" t="str">
        <x:v>Purchase cost (USD)</x:v>
      </x:c>
      <x:c r="C29" s="24" t="str">
        <x:v>Used cost (USD)</x:v>
      </x:c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 t="str">
        <x:f>'ShoppingList'!A7</x:f>
        <x:v>Spaghetti (dry)</x:v>
      </x:c>
      <x:c r="B30" s="8" t="n">
        <x:f>'ShoppingList'!H7</x:f>
        <x:v>2.5</x:v>
      </x:c>
      <x:c r="C30" s="8" t="n">
        <x:f>'ShoppingList'!J7</x:f>
        <x:v>3</x:v>
      </x:c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 t="str">
        <x:f>'ShoppingList'!A8</x:f>
        <x:v>Guanciale</x:v>
      </x:c>
      <x:c r="B31" s="8" t="n">
        <x:f>'ShoppingList'!H8</x:f>
        <x:v>12</x:v>
      </x:c>
      <x:c r="C31" s="8" t="n">
        <x:f>'ShoppingList'!J8</x:f>
        <x:v>9.6</x:v>
      </x:c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 t="str">
        <x:f>'ShoppingList'!A9</x:f>
        <x:v>Egg yolks</x:v>
      </x:c>
      <x:c r="B32" s="8" t="n">
        <x:f>'ShoppingList'!H9</x:f>
        <x:v>1.62</x:v>
      </x:c>
      <x:c r="C32" s="8" t="n">
        <x:f>'ShoppingList'!J9</x:f>
        <x:v>1.62</x:v>
      </x:c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 t="str">
        <x:f>'ShoppingList'!A10</x:f>
        <x:v>Pecorino Romano</x:v>
      </x:c>
      <x:c r="B33" s="8" t="n">
        <x:f>'ShoppingList'!H10</x:f>
        <x:v>7</x:v>
      </x:c>
      <x:c r="C33" s="8" t="n">
        <x:f>'ShoppingList'!J10</x:f>
        <x:v>4.2</x:v>
      </x:c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 t="str">
        <x:f>'ShoppingList'!A11</x:f>
        <x:v>Black pepper</x:v>
      </x:c>
      <x:c r="B34" s="8" t="n">
        <x:f>'ShoppingList'!H11</x:f>
        <x:v>2.5</x:v>
      </x:c>
      <x:c r="C34" s="8" t="n">
        <x:f>'ShoppingList'!J11</x:f>
        <x:v>0.15</x:v>
      </x:c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conditionalFormatting sqref="B8:B8">
    <x:cfRule type="expression" dxfId="2" priority="1">
      <x:formula>$B$8&gt;$B$9</x:formula>
    </x:cfRule>
  </x:conditionalFormatting>
  <x:conditionalFormatting sqref="B10:B10">
    <x:cfRule type="cellIs" dxfId="3" priority="2" operator="lessThan">
      <x:formula>0</x:formula>
    </x:cfRule>
  </x:conditionalFormatting>
  <x:conditionalFormatting sqref="B11:B11">
    <x:cfRule type="expression" dxfId="4" priority="3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9677839a465b4706"/>
</x:worksheet>
</file>