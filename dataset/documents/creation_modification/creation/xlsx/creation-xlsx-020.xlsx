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fb2670328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61be265b98dd41d7"/>
    <x:sheet xmlns:r="http://schemas.openxmlformats.org/officeDocument/2006/relationships" name="Ingredients" sheetId="2" r:id="Rf7c8c6d4290e4840"/>
    <x:sheet xmlns:r="http://schemas.openxmlformats.org/officeDocument/2006/relationships" name="ShoppingList" sheetId="3" r:id="R903f01ac07a948f0"/>
    <x:sheet xmlns:r="http://schemas.openxmlformats.org/officeDocument/2006/relationships" name="Dashboard" sheetId="4" r:id="R749f999b7d1644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(&quot;$&quot;#,##0.00);&quot;$&quot;0.00"/>
    <x:numFmt numFmtId="202" formatCode="0.0"/>
  </x:numFmts>
  <x:fonts count="6">
    <x:font>
      <x:sz val="11"/>
      <x:name val="Carlito"/>
    </x:font>
    <x:font>
      <x:sz val="11"/>
      <x:color rgb="FF263445"/>
      <x:name val="Arial"/>
    </x:font>
    <x:font>
      <x:b/>
      <x:sz val="16"/>
      <x:color rgb="FF283E56"/>
      <x:name val="Arial"/>
    </x:font>
    <x:font>
      <x:b/>
      <x:sz val="11"/>
      <x:color rgb="FFFFFFFF"/>
      <x:name val="Arial"/>
    </x:font>
    <x:font>
      <x:sz val="11"/>
      <x:color rgb="FF174C8C"/>
      <x:name val="Arial"/>
    </x:font>
    <x:font>
      <x:b/>
      <x:sz val="11"/>
      <x:color rgb="FF2634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E69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AAB9C6"/>
      </x:bottom>
    </x:border>
    <x:border>
      <x:top style="thin">
        <x:color rgb="FF8495A6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E6EFF9"/>
        </x:patternFill>
      </x:fill>
    </x:dxf>
    <x:dxf>
      <x:font>
        <x:b/>
        <x:color rgb="FFA12828"/>
      </x:font>
      <x:fill>
        <x:patternFill patternType="solid">
          <x:bgColor rgb="FFFBE2DF"/>
        </x:patternFill>
      </x:fill>
    </x:dxf>
    <x:dxf>
      <x:font>
        <x:b/>
        <x:color rgb="FFA12828"/>
      </x:font>
      <x:fill>
        <x:patternFill patternType="solid">
          <x:bgColor rgb="FFFBE2DF"/>
        </x:patternFill>
      </x:fill>
    </x:dxf>
    <x:dxf>
      <x:font>
        <x:color rgb="FFA12828"/>
      </x:font>
      <x:fill>
        <x:patternFill patternType="solid">
          <x:bgColor rgb="FFFBE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2a8e2e6ea45ce" /><Relationship Type="http://schemas.openxmlformats.org/officeDocument/2006/relationships/theme" Target="/xl/theme/theme1.xml" Id="R65682a8da3bb4237" /><Relationship Type="http://schemas.openxmlformats.org/officeDocument/2006/relationships/sharedStrings" Target="/xl/sharedStrings.xml" Id="R5705d80dfc4949ff" /><Relationship Type="http://schemas.openxmlformats.org/officeDocument/2006/relationships/worksheet" Target="/xl/worksheets/sheet1.xml" Id="R61be265b98dd41d7" /><Relationship Type="http://schemas.openxmlformats.org/officeDocument/2006/relationships/worksheet" Target="/xl/worksheets/sheet2.xml" Id="Rf7c8c6d4290e4840" /><Relationship Type="http://schemas.openxmlformats.org/officeDocument/2006/relationships/worksheet" Target="/xl/worksheets/sheet3.xml" Id="R903f01ac07a948f0" /><Relationship Type="http://schemas.openxmlformats.org/officeDocument/2006/relationships/worksheet" Target="/xl/worksheets/sheet4.xml" Id="R749f999b7d1644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d3ee85dc4a41b4" /><Relationship Type="http://schemas.openxmlformats.org/officeDocument/2006/relationships/chart" Target="/xl/drawings/charts/chart2.xml" Id="Rf0757104003f4c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97DA0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d3ee85dc4a41b4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757104003f4c1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cd31cf3ecb4d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add7bbc51894b75" /></Relationships>
</file>

<file path=xl/worksheets/sheet1.xml><?xml version="1.0" encoding="utf-8"?>
<x:worksheet xmlns:x="http://schemas.openxmlformats.org/spreadsheetml/2006/main">
  <x:sheetPr>
    <x:tabColor rgb="FF8296AE"/>
  </x:sheetPr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Carbonara meal setup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8" customHeight="1">
      <x:c r="A5" s="8" t="str">
        <x:v>Setting</x:v>
      </x:c>
      <x:c r="B5" s="8" t="str">
        <x:v>Value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Base recipe servings</x:v>
      </x:c>
      <x:c r="B6" s="9" t="n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Desired servings</x:v>
      </x:c>
      <x:c r="B7" s="13" t="n">
        <x:v>6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Shopping budget (USD)</x:v>
      </x:c>
      <x:c r="B8" s="14" t="n">
        <x:v>20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Yellow cells are editable inputs.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Change servings and budget here; edit ingredient inputs on Ingredients.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dataValidations count="2">
    <x:dataValidation type="whole" errorStyle="stop" operator="between" showErrorMessage="1" errorTitle="Invalid servings" error="Enter a whole number from 1 through 20." sqref="B7">
      <x:formula1>1</x:formula1>
      <x:formula2>20</x:formula2>
    </x:dataValidation>
    <x:dataValidation type="decimal" errorStyle="stop" operator="greaterThanOrEqual" showErrorMessage="1" errorTitle="Invalid budget" error="Enter a nonnegative number." sqref="B8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Carbonara ingredients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</x:row>
    <x:row r="4" ht="24" customHeight="1">
      <x:c r="A4" s="2" t="str">
        <x:v>Source: user-provided illustrative quantities and prices. All weights are in grams.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8" customHeight="1">
      <x:c r="A5" s="8" t="str">
        <x:v>Ingredient</x:v>
      </x:c>
      <x:c r="B5" s="8" t="str">
        <x:v>Base quantity (g)</x:v>
      </x:c>
      <x:c r="C5" s="8" t="str">
        <x:v>Stock available (g)</x:v>
      </x:c>
      <x:c r="D5" s="8" t="str">
        <x:v>Package size (g)</x:v>
      </x:c>
      <x:c r="E5" s="8" t="str">
        <x:v>Package price (USD)</x:v>
      </x:c>
      <x:c r="F5" s="8" t="str">
        <x:v>Required quantity (g)</x:v>
      </x:c>
      <x:c r="G5" s="8" t="str">
        <x:v>Used-ingredient cost (USD)</x:v>
      </x:c>
      <x:c r="H5" s="2"/>
      <x:c r="I5" s="2"/>
      <x:c r="J5" s="2"/>
      <x:c r="K5" s="2"/>
      <x:c r="L5" s="2"/>
    </x:row>
    <x:row r="6" ht="24" customHeight="1">
      <x:c r="A6" s="16" t="str">
        <x:v>Spaghetti (dry)</x:v>
      </x:c>
      <x:c r="B6" s="17" t="n">
        <x:v>200</x:v>
      </x:c>
      <x:c r="C6" s="17" t="n">
        <x:v>100</x:v>
      </x:c>
      <x:c r="D6" s="17" t="n">
        <x:v>500</x:v>
      </x:c>
      <x:c r="E6" s="14" t="n">
        <x:v>2.5</x:v>
      </x:c>
      <x:c r="F6" s="18" t="n">
        <x:f>B6*Setup!$B$7/Setup!$B$6</x:f>
        <x:v>600</x:v>
      </x:c>
      <x:c r="G6" s="10" t="n">
        <x:f>F6/D6*E6</x:f>
        <x:v>3</x:v>
      </x:c>
      <x:c r="H6" s="2"/>
      <x:c r="I6" s="2"/>
      <x:c r="J6" s="2"/>
      <x:c r="K6" s="2"/>
      <x:c r="L6" s="2"/>
    </x:row>
    <x:row r="7" ht="24" customHeight="1">
      <x:c r="A7" s="16" t="str">
        <x:v>Guanciale</x:v>
      </x:c>
      <x:c r="B7" s="17" t="n">
        <x:v>80</x:v>
      </x:c>
      <x:c r="C7" s="17" t="n">
        <x:v>20</x:v>
      </x:c>
      <x:c r="D7" s="17" t="n">
        <x:v>100</x:v>
      </x:c>
      <x:c r="E7" s="14" t="n">
        <x:v>4</x:v>
      </x:c>
      <x:c r="F7" s="18" t="n">
        <x:f>B7*Setup!$B$7/Setup!$B$6</x:f>
        <x:v>240</x:v>
      </x:c>
      <x:c r="G7" s="10" t="n">
        <x:f>F7/D7*E7</x:f>
        <x:v>9.6</x:v>
      </x:c>
      <x:c r="H7" s="2"/>
      <x:c r="I7" s="2"/>
      <x:c r="J7" s="2"/>
      <x:c r="K7" s="2"/>
      <x:c r="L7" s="2"/>
    </x:row>
    <x:row r="8" ht="24" customHeight="1">
      <x:c r="A8" s="16" t="str">
        <x:v>Egg yolks</x:v>
      </x:c>
      <x:c r="B8" s="17" t="n">
        <x:v>36</x:v>
      </x:c>
      <x:c r="C8" s="17" t="n">
        <x:v>0</x:v>
      </x:c>
      <x:c r="D8" s="17" t="n">
        <x:v>36</x:v>
      </x:c>
      <x:c r="E8" s="14" t="n">
        <x:v>0.54</x:v>
      </x:c>
      <x:c r="F8" s="18" t="n">
        <x:f>B8*Setup!$B$7/Setup!$B$6</x:f>
        <x:v>108</x:v>
      </x:c>
      <x:c r="G8" s="10" t="n">
        <x:f>F8/D8*E8</x:f>
        <x:v>1.62</x:v>
      </x:c>
      <x:c r="H8" s="2"/>
      <x:c r="I8" s="2"/>
      <x:c r="J8" s="2"/>
      <x:c r="K8" s="2"/>
      <x:c r="L8" s="2"/>
    </x:row>
    <x:row r="9" ht="24" customHeight="1">
      <x:c r="A9" s="16" t="str">
        <x:v>Pecorino Romano</x:v>
      </x:c>
      <x:c r="B9" s="17" t="n">
        <x:v>40</x:v>
      </x:c>
      <x:c r="C9" s="17" t="n">
        <x:v>10</x:v>
      </x:c>
      <x:c r="D9" s="17" t="n">
        <x:v>100</x:v>
      </x:c>
      <x:c r="E9" s="14" t="n">
        <x:v>3.5</x:v>
      </x:c>
      <x:c r="F9" s="18" t="n">
        <x:f>B9*Setup!$B$7/Setup!$B$6</x:f>
        <x:v>120</x:v>
      </x:c>
      <x:c r="G9" s="10" t="n">
        <x:f>F9/D9*E9</x:f>
        <x:v>4.2</x:v>
      </x:c>
      <x:c r="H9" s="2"/>
      <x:c r="I9" s="2"/>
      <x:c r="J9" s="2"/>
      <x:c r="K9" s="2"/>
      <x:c r="L9" s="2"/>
    </x:row>
    <x:row r="10" ht="24" customHeight="1">
      <x:c r="A10" s="16" t="str">
        <x:v>Black pepper</x:v>
      </x:c>
      <x:c r="B10" s="17" t="n">
        <x:v>1</x:v>
      </x:c>
      <x:c r="C10" s="17" t="n">
        <x:v>2</x:v>
      </x:c>
      <x:c r="D10" s="17" t="n">
        <x:v>50</x:v>
      </x:c>
      <x:c r="E10" s="14" t="n">
        <x:v>2.5</x:v>
      </x:c>
      <x:c r="F10" s="18" t="n">
        <x:f>B10*Setup!$B$7/Setup!$B$6</x:f>
        <x:v>3</x:v>
      </x:c>
      <x:c r="G10" s="10" t="n">
        <x:f>F10/D10*E10</x:f>
        <x:v>0.15</x:v>
      </x:c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Egg yolks are weighed without shells or egg whites.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Used cost values the full required quantity, including stock already on hand.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pageMargins left="0.7" right="0.7" top="0.75" bottom="0.75" header="0.3" footer="0.3"/>
  <x:tableParts count="1">
    <x:tablePart xmlns:r="http://schemas.openxmlformats.org/officeDocument/2006/relationships" r:id="R91cd31cf3ecb4d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Carbonara shopping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2"/>
      <x:c r="L3" s="2"/>
    </x:row>
    <x:row r="4" ht="24" customHeight="1">
      <x:c r="A4" s="2" t="str">
        <x:v>Desired servings</x:v>
      </x:c>
      <x:c r="B4" s="2" t="n">
        <x:f>Setup!B7</x:f>
        <x:v>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8" customHeight="1">
      <x:c r="A5" s="8" t="str">
        <x:v>Ingredient</x:v>
      </x:c>
      <x:c r="B5" s="8" t="str">
        <x:v>Required (g)</x:v>
      </x:c>
      <x:c r="C5" s="8" t="str">
        <x:v>Stock (g)</x:v>
      </x:c>
      <x:c r="D5" s="8" t="str">
        <x:v>Additional needed (g)</x:v>
      </x:c>
      <x:c r="E5" s="8" t="str">
        <x:v>Package size (g)</x:v>
      </x:c>
      <x:c r="F5" s="8" t="str">
        <x:v>Package price (USD)</x:v>
      </x:c>
      <x:c r="G5" s="8" t="str">
        <x:v>Packages to buy</x:v>
      </x:c>
      <x:c r="H5" s="8" t="str">
        <x:v>Purchase cost (USD)</x:v>
      </x:c>
      <x:c r="I5" s="8" t="str">
        <x:v>Remaining stock (g)</x:v>
      </x:c>
      <x:c r="J5" s="8" t="str">
        <x:v>Used-ingredient cost (USD)</x:v>
      </x:c>
      <x:c r="K5" s="2"/>
      <x:c r="L5" s="2"/>
    </x:row>
    <x:row r="6" ht="24" customHeight="1">
      <x:c r="A6" s="2" t="str">
        <x:f>Ingredients!A6</x:f>
        <x:v>Spaghetti (dry)</x:v>
      </x:c>
      <x:c r="B6" s="18" t="n">
        <x:f>Ingredients!F6</x:f>
        <x:v>600</x:v>
      </x:c>
      <x:c r="C6" s="18" t="n">
        <x:f>Ingredients!C6</x:f>
        <x:v>100</x:v>
      </x:c>
      <x:c r="D6" s="18" t="n">
        <x:f>MAX(B6-C6,0)</x:f>
        <x:v>500</x:v>
      </x:c>
      <x:c r="E6" s="18" t="n">
        <x:f>Ingredients!D6</x:f>
        <x:v>500</x:v>
      </x:c>
      <x:c r="F6" s="10" t="n">
        <x:f>Ingredients!E6</x:f>
        <x:v>2.5</x:v>
      </x:c>
      <x:c r="G6" s="9" t="n">
        <x:f>ROUNDUP(D6/E6,0)</x:f>
        <x:v>1</x:v>
      </x:c>
      <x:c r="H6" s="10" t="n">
        <x:f>G6*F6</x:f>
        <x:v>2.5</x:v>
      </x:c>
      <x:c r="I6" s="18" t="n">
        <x:f>C6+G6*E6-B6</x:f>
        <x:v>0</x:v>
      </x:c>
      <x:c r="J6" s="10" t="n">
        <x:f>Ingredients!G6</x:f>
        <x:v>3</x:v>
      </x:c>
      <x:c r="K6" s="2"/>
      <x:c r="L6" s="2"/>
    </x:row>
    <x:row r="7" ht="24" customHeight="1">
      <x:c r="A7" s="2" t="str">
        <x:f>Ingredients!A7</x:f>
        <x:v>Guanciale</x:v>
      </x:c>
      <x:c r="B7" s="18" t="n">
        <x:f>Ingredients!F7</x:f>
        <x:v>240</x:v>
      </x:c>
      <x:c r="C7" s="18" t="n">
        <x:f>Ingredients!C7</x:f>
        <x:v>20</x:v>
      </x:c>
      <x:c r="D7" s="18" t="n">
        <x:f>MAX(B7-C7,0)</x:f>
        <x:v>220</x:v>
      </x:c>
      <x:c r="E7" s="18" t="n">
        <x:f>Ingredients!D7</x:f>
        <x:v>100</x:v>
      </x:c>
      <x:c r="F7" s="10" t="n">
        <x:f>Ingredients!E7</x:f>
        <x:v>4</x:v>
      </x:c>
      <x:c r="G7" s="9" t="n">
        <x:f>ROUNDUP(D7/E7,0)</x:f>
        <x:v>3</x:v>
      </x:c>
      <x:c r="H7" s="10" t="n">
        <x:f>G7*F7</x:f>
        <x:v>12</x:v>
      </x:c>
      <x:c r="I7" s="18" t="n">
        <x:f>C7+G7*E7-B7</x:f>
        <x:v>80</x:v>
      </x:c>
      <x:c r="J7" s="10" t="n">
        <x:f>Ingredients!G7</x:f>
        <x:v>9.6</x:v>
      </x:c>
      <x:c r="K7" s="2"/>
      <x:c r="L7" s="2"/>
    </x:row>
    <x:row r="8" ht="24" customHeight="1">
      <x:c r="A8" s="2" t="str">
        <x:f>Ingredients!A8</x:f>
        <x:v>Egg yolks</x:v>
      </x:c>
      <x:c r="B8" s="18" t="n">
        <x:f>Ingredients!F8</x:f>
        <x:v>108</x:v>
      </x:c>
      <x:c r="C8" s="18" t="n">
        <x:f>Ingredients!C8</x:f>
        <x:v>0</x:v>
      </x:c>
      <x:c r="D8" s="18" t="n">
        <x:f>MAX(B8-C8,0)</x:f>
        <x:v>108</x:v>
      </x:c>
      <x:c r="E8" s="18" t="n">
        <x:f>Ingredients!D8</x:f>
        <x:v>36</x:v>
      </x:c>
      <x:c r="F8" s="10" t="n">
        <x:f>Ingredients!E8</x:f>
        <x:v>0.54</x:v>
      </x:c>
      <x:c r="G8" s="9" t="n">
        <x:f>ROUNDUP(D8/E8,0)</x:f>
        <x:v>3</x:v>
      </x:c>
      <x:c r="H8" s="10" t="n">
        <x:f>G8*F8</x:f>
        <x:v>1.62</x:v>
      </x:c>
      <x:c r="I8" s="18" t="n">
        <x:f>C8+G8*E8-B8</x:f>
        <x:v>0</x:v>
      </x:c>
      <x:c r="J8" s="10" t="n">
        <x:f>Ingredients!G8</x:f>
        <x:v>1.62</x:v>
      </x:c>
      <x:c r="K8" s="2"/>
      <x:c r="L8" s="2"/>
    </x:row>
    <x:row r="9" ht="24" customHeight="1">
      <x:c r="A9" s="2" t="str">
        <x:f>Ingredients!A9</x:f>
        <x:v>Pecorino Romano</x:v>
      </x:c>
      <x:c r="B9" s="18" t="n">
        <x:f>Ingredients!F9</x:f>
        <x:v>120</x:v>
      </x:c>
      <x:c r="C9" s="18" t="n">
        <x:f>Ingredients!C9</x:f>
        <x:v>10</x:v>
      </x:c>
      <x:c r="D9" s="18" t="n">
        <x:f>MAX(B9-C9,0)</x:f>
        <x:v>110</x:v>
      </x:c>
      <x:c r="E9" s="18" t="n">
        <x:f>Ingredients!D9</x:f>
        <x:v>100</x:v>
      </x:c>
      <x:c r="F9" s="10" t="n">
        <x:f>Ingredients!E9</x:f>
        <x:v>3.5</x:v>
      </x:c>
      <x:c r="G9" s="9" t="n">
        <x:f>ROUNDUP(D9/E9,0)</x:f>
        <x:v>2</x:v>
      </x:c>
      <x:c r="H9" s="10" t="n">
        <x:f>G9*F9</x:f>
        <x:v>7</x:v>
      </x:c>
      <x:c r="I9" s="18" t="n">
        <x:f>C9+G9*E9-B9</x:f>
        <x:v>90</x:v>
      </x:c>
      <x:c r="J9" s="10" t="n">
        <x:f>Ingredients!G9</x:f>
        <x:v>4.2</x:v>
      </x:c>
      <x:c r="K9" s="2"/>
      <x:c r="L9" s="2"/>
    </x:row>
    <x:row r="10" ht="24" customHeight="1">
      <x:c r="A10" s="2" t="str">
        <x:f>Ingredients!A10</x:f>
        <x:v>Black pepper</x:v>
      </x:c>
      <x:c r="B10" s="18" t="n">
        <x:f>Ingredients!F10</x:f>
        <x:v>3</x:v>
      </x:c>
      <x:c r="C10" s="18" t="n">
        <x:f>Ingredients!C10</x:f>
        <x:v>2</x:v>
      </x:c>
      <x:c r="D10" s="18" t="n">
        <x:f>MAX(B10-C10,0)</x:f>
        <x:v>1</x:v>
      </x:c>
      <x:c r="E10" s="18" t="n">
        <x:f>Ingredients!D10</x:f>
        <x:v>50</x:v>
      </x:c>
      <x:c r="F10" s="10" t="n">
        <x:f>Ingredients!E10</x:f>
        <x:v>2.5</x:v>
      </x:c>
      <x:c r="G10" s="9" t="n">
        <x:f>ROUNDUP(D10/E10,0)</x:f>
        <x:v>1</x:v>
      </x:c>
      <x:c r="H10" s="10" t="n">
        <x:f>G10*F10</x:f>
        <x:v>2.5</x:v>
      </x:c>
      <x:c r="I10" s="18" t="n">
        <x:f>C10+G10*E10-B10</x:f>
        <x:v>49</x:v>
      </x:c>
      <x:c r="J10" s="10" t="n">
        <x:f>Ingredients!G10</x:f>
        <x:v>0.15</x:v>
      </x:c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10"/>
      <x:c r="I11" s="2"/>
      <x:c r="J11" s="10"/>
      <x:c r="K11" s="2"/>
      <x:c r="L11" s="2"/>
    </x:row>
    <x:row r="12" ht="24" customHeight="1">
      <x:c r="A12" s="21" t="str">
        <x:v>Total</x:v>
      </x:c>
      <x:c r="B12" s="21"/>
      <x:c r="C12" s="21"/>
      <x:c r="D12" s="21"/>
      <x:c r="E12" s="21"/>
      <x:c r="F12" s="21"/>
      <x:c r="G12" s="21"/>
      <x:c r="H12" s="22" t="n">
        <x:f>SUM(H6:H10)</x:f>
        <x:v>25.62</x:v>
      </x:c>
      <x:c r="I12" s="21"/>
      <x:c r="J12" s="22" t="n">
        <x:f>SUM(J6:J10)</x:f>
        <x:v>18.569999999999997</x:v>
      </x:c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A6:J10">
    <x:cfRule type="expression" dxfId="0" priority="1">
      <x:formula>$G6&gt;0</x:formula>
    </x:cfRule>
  </x:conditionalFormatting>
  <x:conditionalFormatting sqref="H12:H12">
    <x:cfRule type="expression" dxfId="1" priority="2">
      <x:formula>H12&gt;Setup!$B$8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44E69"/>
  </x:sheetPr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Desired servings</x:v>
      </x:c>
      <x:c r="B5" s="9" t="n">
        <x:f>Setup!B7</x:f>
        <x:v>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Used-ingredient cost</x:v>
      </x:c>
      <x:c r="B6" s="10" t="n">
        <x:f>ShoppingList!J12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Used cost per serving</x:v>
      </x:c>
      <x:c r="B7" s="10" t="n">
        <x:f>ROUND(ROUND(B6/B5,10),2)</x:f>
        <x:v>3.1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19" t="str">
        <x:v>Total purchase cost</x:v>
      </x:c>
      <x:c r="B8" s="20" t="n">
        <x:f>ShoppingList!H12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Shopping budget</x:v>
      </x:c>
      <x:c r="B9" s="10" t="n">
        <x:f>Setup!B8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 t="str">
        <x:v>Budget remaining</x:v>
      </x:c>
      <x:c r="B10" s="10" t="n">
        <x:f>B9-B8</x:f>
        <x:v>-5.620000000000001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Budget status</x:v>
      </x:c>
      <x:c r="B11" s="2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</x:sheetData>
  <x:conditionalFormatting sqref="B8:B8">
    <x:cfRule type="expression" dxfId="2" priority="1">
      <x:formula>B8&gt;B9</x:formula>
    </x:cfRule>
  </x:conditionalFormatting>
  <x:conditionalFormatting sqref="B10:B11">
    <x:cfRule type="expression" dxfId="3" priority="2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aadd7bbc51894b75"/>
</x:worksheet>
</file>