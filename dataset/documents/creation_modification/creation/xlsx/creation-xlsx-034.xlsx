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52585e2c142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666b86598ca84254"/>
    <x:sheet xmlns:r="http://schemas.openxmlformats.org/officeDocument/2006/relationships" name="Ingredients" sheetId="2" r:id="Re6e8082d2aea4e49"/>
    <x:sheet xmlns:r="http://schemas.openxmlformats.org/officeDocument/2006/relationships" name="ShoppingList" sheetId="3" r:id="R2ed390f24f444096"/>
    <x:sheet xmlns:r="http://schemas.openxmlformats.org/officeDocument/2006/relationships" name="Dashboard" sheetId="4" r:id="R059f3bfe4c00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$&quot;#,##0.00"/>
    <x:numFmt numFmtId="202" formatCode="0.##"/>
  </x:numFmts>
  <x:fonts count="6">
    <x:font>
      <x:sz val="11"/>
      <x:name val="Carlito"/>
    </x:font>
    <x:font>
      <x:sz val="10"/>
      <x:color rgb="FF243247"/>
      <x:name val="Arial"/>
    </x:font>
    <x:font>
      <x:b/>
      <x:sz val="16"/>
      <x:color rgb="FF243247"/>
      <x:name val="Arial"/>
    </x:font>
    <x:font>
      <x:b/>
      <x:sz val="10"/>
      <x:color rgb="FFFFFFFF"/>
      <x:name val="Arial"/>
    </x:font>
    <x:font>
      <x:sz val="10"/>
      <x:color rgb="FF626D7D"/>
      <x:name val="Arial"/>
    </x:font>
    <x:font>
      <x:b/>
      <x:sz val="10"/>
      <x:color rgb="FF2432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247"/>
      </x:patternFill>
    </x:fill>
    <x:fill>
      <x:patternFill patternType="solid">
        <x:fgColor rgb="FFFFF0BB"/>
      </x:patternFill>
    </x:fill>
    <x:fill>
      <x:patternFill patternType="solid">
        <x:fgColor rgb="FFE9EDF3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4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E8F2E9"/>
        </x:patternFill>
      </x:fill>
    </x:dxf>
    <x:dxf>
      <x:font>
        <x:b/>
        <x:color rgb="FFAE3028"/>
      </x:font>
      <x:fill>
        <x:patternFill patternType="solid">
          <x:bgColor rgb="FFFFE0DD"/>
        </x:patternFill>
      </x:fill>
    </x:dxf>
    <x:dxf>
      <x:font>
        <x:b/>
        <x:color rgb="FFAE3028"/>
      </x:font>
      <x:fill>
        <x:patternFill patternType="solid">
          <x:bgColor rgb="FFFFE0DD"/>
        </x:patternFill>
      </x:fill>
    </x:dxf>
    <x:dxf>
      <x:font>
        <x:b/>
        <x:color rgb="FFAE3028"/>
      </x:font>
      <x:fill>
        <x:patternFill patternType="solid">
          <x:bgColor rgb="FFFFE0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3b40520e34f14" /><Relationship Type="http://schemas.openxmlformats.org/officeDocument/2006/relationships/theme" Target="/xl/theme/theme1.xml" Id="R43a37c4c256d465c" /><Relationship Type="http://schemas.openxmlformats.org/officeDocument/2006/relationships/sharedStrings" Target="/xl/sharedStrings.xml" Id="R7d91b63f89f14fae" /><Relationship Type="http://schemas.openxmlformats.org/officeDocument/2006/relationships/worksheet" Target="/xl/worksheets/sheet1.xml" Id="R666b86598ca84254" /><Relationship Type="http://schemas.openxmlformats.org/officeDocument/2006/relationships/worksheet" Target="/xl/worksheets/sheet2.xml" Id="Re6e8082d2aea4e49" /><Relationship Type="http://schemas.openxmlformats.org/officeDocument/2006/relationships/worksheet" Target="/xl/worksheets/sheet3.xml" Id="R2ed390f24f444096" /><Relationship Type="http://schemas.openxmlformats.org/officeDocument/2006/relationships/worksheet" Target="/xl/worksheets/sheet4.xml" Id="R059f3bfe4c0047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c692ace1e54143" /><Relationship Type="http://schemas.openxmlformats.org/officeDocument/2006/relationships/chart" Target="/xl/drawings/charts/chart2.xml" Id="Rd7aaee9fd5ad48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5578A0"/>
            </a:solidFill>
          </c:spPr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'Dashboard'!$B$16:$B$20</c:f>
              <c:numCache>
                <c:formatCode>"$"#,##0.00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 cost (USD)</c:v>
          </c:tx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'Dashboard'!$C$16:$C$20</c:f>
              <c:numCache>
                <c:formatCode>"$"#,##0.00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c692ace1e54143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aaee9fd5ad48e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4:G9" headerRowCount="1" totalsRowCount="0" totalsRowShown="0">
  <x:autoFilter ref="A4:G9"/>
  <x:tableColumns count="7">
    <x:tableColumn id="1" name="Ingredient"/>
    <x:tableColumn id="2" name="Base quantity for 2 servings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4534ad1bef47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55dc2d88a624e2e" /></Relationships>
</file>

<file path=xl/worksheets/sheet1.xml><?xml version="1.0" encoding="utf-8"?>
<x:worksheet xmlns:x="http://schemas.openxmlformats.org/spreadsheetml/2006/main">
  <x:sheetPr>
    <x:tabColor rgb="FFE3AE49"/>
  </x:sheetPr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3" customHeight="1">
      <x:c r="A2" s="2" t="str">
        <x:v>Carbonara meal setup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44" customHeight="1">
      <x:c r="A4" s="7" t="str">
        <x:v>Setting</x:v>
      </x:c>
      <x:c r="B4" s="7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</x:row>
    <x:row r="5" ht="23" customHeight="1">
      <x:c r="A5" s="1" t="str">
        <x:v>Base recipe servings</x:v>
      </x:c>
      <x:c r="B5" s="9" t="n">
        <x:v>2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23" customHeight="1">
      <x:c r="A6" s="1" t="str">
        <x:v>Desired servings</x:v>
      </x:c>
      <x:c r="B6" s="10" t="n">
        <x:v>6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23" customHeight="1">
      <x:c r="A7" s="1" t="str">
        <x:v>Shopping budget (USD)</x:v>
      </x:c>
      <x:c r="B7" s="11" t="n">
        <x:v>20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23" customHeight="1">
      <x:c r="A10" s="12" t="str">
        <x:v>Yellow cells are editable inputs.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3" customHeight="1">
      <x:c r="A11" s="12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3" customHeight="1">
      <x:c r="A12" s="12" t="str">
        <x:v>Quantities and package sizes are in grams.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3" customHeight="1">
      <x:c r="A13" s="12" t="str">
        <x:v>Egg yolks exclude shells and egg whites.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3" customHeight="1">
      <x:c r="A14" s="12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3" customHeight="1">
      <x:c r="A15" s="12" t="str">
        <x:v>Prices are fixed illustrative data supplied for this plan.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</x:sheetData>
  <x:dataValidations count="2">
    <x:dataValidation type="whole" operator="between" sqref="B6">
      <x:formula1>1</x:formula1>
      <x:formula2>20</x:formula2>
    </x:dataValidation>
    <x:dataValidation type="decimal" operator="greaterThanOrEqual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3" customHeight="1">
      <x:c r="A2" s="2" t="str">
        <x:v>Recipe ingredients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44" customHeight="1">
      <x:c r="A4" s="7" t="str">
        <x:v>Ingredient</x:v>
      </x:c>
      <x:c r="B4" s="7" t="str">
        <x:v>Base quantity for 2 servings (g)</x:v>
      </x:c>
      <x:c r="C4" s="7" t="str">
        <x:v>Stock available (g)</x:v>
      </x:c>
      <x:c r="D4" s="7" t="str">
        <x:v>Package size (g)</x:v>
      </x:c>
      <x:c r="E4" s="7" t="str">
        <x:v>Package price (USD)</x:v>
      </x:c>
      <x:c r="F4" s="7" t="str">
        <x:v>Required quantity (g)</x:v>
      </x:c>
      <x:c r="G4" s="7" t="str">
        <x:v>Used-ingredient cost (USD)</x:v>
      </x:c>
      <x:c r="H4" s="1"/>
      <x:c r="I4" s="1"/>
      <x:c r="J4" s="1"/>
      <x:c r="K4" s="1"/>
    </x:row>
    <x:row r="5" ht="23" customHeight="1">
      <x:c r="A5" s="1" t="str">
        <x:v>Spaghetti (dry)</x:v>
      </x:c>
      <x:c r="B5" s="13" t="n">
        <x:v>200</x:v>
      </x:c>
      <x:c r="C5" s="13" t="n">
        <x:v>100</x:v>
      </x:c>
      <x:c r="D5" s="13" t="n">
        <x:v>500</x:v>
      </x:c>
      <x:c r="E5" s="11" t="n">
        <x:v>2.5</x:v>
      </x:c>
      <x:c r="F5" s="14" t="n">
        <x:f>B5*Setup!$B$6/Setup!$B$5</x:f>
        <x:v>600</x:v>
      </x:c>
      <x:c r="G5" s="15" t="n">
        <x:f>F5/D5*E5</x:f>
        <x:v>3</x:v>
      </x:c>
      <x:c r="H5" s="1"/>
      <x:c r="I5" s="1"/>
      <x:c r="J5" s="1"/>
      <x:c r="K5" s="1"/>
    </x:row>
    <x:row r="6" ht="23" customHeight="1">
      <x:c r="A6" s="1" t="str">
        <x:v>Guanciale</x:v>
      </x:c>
      <x:c r="B6" s="13" t="n">
        <x:v>80</x:v>
      </x:c>
      <x:c r="C6" s="13" t="n">
        <x:v>20</x:v>
      </x:c>
      <x:c r="D6" s="13" t="n">
        <x:v>100</x:v>
      </x:c>
      <x:c r="E6" s="11" t="n">
        <x:v>4</x:v>
      </x:c>
      <x:c r="F6" s="14" t="n">
        <x:f>B6*Setup!$B$6/Setup!$B$5</x:f>
        <x:v>240</x:v>
      </x:c>
      <x:c r="G6" s="15" t="n">
        <x:f>F6/D6*E6</x:f>
        <x:v>9.6</x:v>
      </x:c>
      <x:c r="H6" s="1"/>
      <x:c r="I6" s="1"/>
      <x:c r="J6" s="1"/>
      <x:c r="K6" s="1"/>
    </x:row>
    <x:row r="7" ht="23" customHeight="1">
      <x:c r="A7" s="1" t="str">
        <x:v>Egg yolks</x:v>
      </x:c>
      <x:c r="B7" s="13" t="n">
        <x:v>36</x:v>
      </x:c>
      <x:c r="C7" s="13" t="n">
        <x:v>0</x:v>
      </x:c>
      <x:c r="D7" s="13" t="n">
        <x:v>36</x:v>
      </x:c>
      <x:c r="E7" s="11" t="n">
        <x:v>0.54</x:v>
      </x:c>
      <x:c r="F7" s="14" t="n">
        <x:f>B7*Setup!$B$6/Setup!$B$5</x:f>
        <x:v>108</x:v>
      </x:c>
      <x:c r="G7" s="15" t="n">
        <x:f>F7/D7*E7</x:f>
        <x:v>1.62</x:v>
      </x:c>
      <x:c r="H7" s="1"/>
      <x:c r="I7" s="1"/>
      <x:c r="J7" s="1"/>
      <x:c r="K7" s="1"/>
    </x:row>
    <x:row r="8" ht="23" customHeight="1">
      <x:c r="A8" s="1" t="str">
        <x:v>Pecorino Romano</x:v>
      </x:c>
      <x:c r="B8" s="13" t="n">
        <x:v>40</x:v>
      </x:c>
      <x:c r="C8" s="13" t="n">
        <x:v>10</x:v>
      </x:c>
      <x:c r="D8" s="13" t="n">
        <x:v>100</x:v>
      </x:c>
      <x:c r="E8" s="11" t="n">
        <x:v>3.5</x:v>
      </x:c>
      <x:c r="F8" s="14" t="n">
        <x:f>B8*Setup!$B$6/Setup!$B$5</x:f>
        <x:v>120</x:v>
      </x:c>
      <x:c r="G8" s="15" t="n">
        <x:f>F8/D8*E8</x:f>
        <x:v>4.2</x:v>
      </x:c>
      <x:c r="H8" s="1"/>
      <x:c r="I8" s="1"/>
      <x:c r="J8" s="1"/>
      <x:c r="K8" s="1"/>
    </x:row>
    <x:row r="9" ht="23" customHeight="1">
      <x:c r="A9" s="1" t="str">
        <x:v>Black pepper</x:v>
      </x:c>
      <x:c r="B9" s="13" t="n">
        <x:v>1</x:v>
      </x:c>
      <x:c r="C9" s="13" t="n">
        <x:v>2</x:v>
      </x:c>
      <x:c r="D9" s="13" t="n">
        <x:v>50</x:v>
      </x:c>
      <x:c r="E9" s="11" t="n">
        <x:v>2.5</x:v>
      </x:c>
      <x:c r="F9" s="14" t="n">
        <x:f>B9*Setup!$B$6/Setup!$B$5</x:f>
        <x:v>3</x:v>
      </x:c>
      <x:c r="G9" s="15" t="n">
        <x:f>F9/D9*E9</x:f>
        <x:v>0.15</x:v>
      </x:c>
      <x:c r="H9" s="1"/>
      <x:c r="I9" s="1"/>
      <x:c r="J9" s="1"/>
      <x:c r="K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3" customHeight="1">
      <x:c r="A12" s="1" t="str">
        <x:v>Used cost values all required ingredients at the package unit price, including stock.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</x:sheetData>
  <x:pageMargins left="0.7" right="0.7" top="0.75" bottom="0.75" header="0.3" footer="0.3"/>
  <x:tableParts count="1">
    <x:tablePart xmlns:r="http://schemas.openxmlformats.org/officeDocument/2006/relationships" r:id="Rea4534ad1bef474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3" customHeight="1">
      <x:c r="A2" s="2" t="str">
        <x:v>Shopping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44" customHeight="1">
      <x:c r="A4" s="7" t="str">
        <x:v>Ingredient</x:v>
      </x:c>
      <x:c r="B4" s="7" t="str">
        <x:v>Required (g)</x:v>
      </x:c>
      <x:c r="C4" s="7" t="str">
        <x:v>Stock (g)</x:v>
      </x:c>
      <x:c r="D4" s="7" t="str">
        <x:v>Additional needed (g)</x:v>
      </x:c>
      <x:c r="E4" s="7" t="str">
        <x:v>Package size (g)</x:v>
      </x:c>
      <x:c r="F4" s="7" t="str">
        <x:v>Package price (USD)</x:v>
      </x:c>
      <x:c r="G4" s="7" t="str">
        <x:v>Packages to buy</x:v>
      </x:c>
      <x:c r="H4" s="7" t="str">
        <x:v>Purchase cost (USD)</x:v>
      </x:c>
      <x:c r="I4" s="7" t="str">
        <x:v>Stock after cooking (g)</x:v>
      </x:c>
      <x:c r="J4" s="7" t="str">
        <x:v>Used-ingredient cost (USD)</x:v>
      </x:c>
      <x:c r="K4" s="7" t="str">
        <x:v>Desired servings</x:v>
      </x:c>
    </x:row>
    <x:row r="5" ht="23" customHeight="1">
      <x:c r="A5" s="1" t="str">
        <x:f>Ingredients!A5</x:f>
        <x:v>Spaghetti (dry)</x:v>
      </x:c>
      <x:c r="B5" s="14" t="n">
        <x:f>Ingredients!F5</x:f>
        <x:v>600</x:v>
      </x:c>
      <x:c r="C5" s="14" t="n">
        <x:f>Ingredients!C5</x:f>
        <x:v>100</x:v>
      </x:c>
      <x:c r="D5" s="14" t="n">
        <x:f>MAX(0,B5-C5)</x:f>
        <x:v>500</x:v>
      </x:c>
      <x:c r="E5" s="14" t="n">
        <x:f>Ingredients!D5</x:f>
        <x:v>500</x:v>
      </x:c>
      <x:c r="F5" s="15" t="n">
        <x:f>Ingredients!E5</x:f>
        <x:v>2.5</x:v>
      </x:c>
      <x:c r="G5" s="9" t="n">
        <x:f>ROUNDUP(D5/E5,0)</x:f>
        <x:v>1</x:v>
      </x:c>
      <x:c r="H5" s="15" t="n">
        <x:f>G5*F5</x:f>
        <x:v>2.5</x:v>
      </x:c>
      <x:c r="I5" s="14" t="n">
        <x:f>C5+G5*E5-B5</x:f>
        <x:v>0</x:v>
      </x:c>
      <x:c r="J5" s="15" t="n">
        <x:f>Ingredients!G5</x:f>
        <x:v>3</x:v>
      </x:c>
      <x:c r="K5" s="1" t="n">
        <x:f>Setup!$B$6</x:f>
        <x:v>6</x:v>
      </x:c>
    </x:row>
    <x:row r="6" ht="23" customHeight="1">
      <x:c r="A6" s="1" t="str">
        <x:f>Ingredients!A6</x:f>
        <x:v>Guanciale</x:v>
      </x:c>
      <x:c r="B6" s="14" t="n">
        <x:f>Ingredients!F6</x:f>
        <x:v>240</x:v>
      </x:c>
      <x:c r="C6" s="14" t="n">
        <x:f>Ingredients!C6</x:f>
        <x:v>20</x:v>
      </x:c>
      <x:c r="D6" s="14" t="n">
        <x:f>MAX(0,B6-C6)</x:f>
        <x:v>220</x:v>
      </x:c>
      <x:c r="E6" s="14" t="n">
        <x:f>Ingredients!D6</x:f>
        <x:v>100</x:v>
      </x:c>
      <x:c r="F6" s="15" t="n">
        <x:f>Ingredients!E6</x:f>
        <x:v>4</x:v>
      </x:c>
      <x:c r="G6" s="9" t="n">
        <x:f>ROUNDUP(D6/E6,0)</x:f>
        <x:v>3</x:v>
      </x:c>
      <x:c r="H6" s="15" t="n">
        <x:f>G6*F6</x:f>
        <x:v>12</x:v>
      </x:c>
      <x:c r="I6" s="14" t="n">
        <x:f>C6+G6*E6-B6</x:f>
        <x:v>80</x:v>
      </x:c>
      <x:c r="J6" s="15" t="n">
        <x:f>Ingredients!G6</x:f>
        <x:v>9.6</x:v>
      </x:c>
      <x:c r="K6" s="1" t="n">
        <x:f>Setup!$B$6</x:f>
        <x:v>6</x:v>
      </x:c>
    </x:row>
    <x:row r="7" ht="23" customHeight="1">
      <x:c r="A7" s="1" t="str">
        <x:f>Ingredients!A7</x:f>
        <x:v>Egg yolks</x:v>
      </x:c>
      <x:c r="B7" s="14" t="n">
        <x:f>Ingredients!F7</x:f>
        <x:v>108</x:v>
      </x:c>
      <x:c r="C7" s="14" t="n">
        <x:f>Ingredients!C7</x:f>
        <x:v>0</x:v>
      </x:c>
      <x:c r="D7" s="14" t="n">
        <x:f>MAX(0,B7-C7)</x:f>
        <x:v>108</x:v>
      </x:c>
      <x:c r="E7" s="14" t="n">
        <x:f>Ingredients!D7</x:f>
        <x:v>36</x:v>
      </x:c>
      <x:c r="F7" s="15" t="n">
        <x:f>Ingredients!E7</x:f>
        <x:v>0.54</x:v>
      </x:c>
      <x:c r="G7" s="9" t="n">
        <x:f>ROUNDUP(D7/E7,0)</x:f>
        <x:v>3</x:v>
      </x:c>
      <x:c r="H7" s="15" t="n">
        <x:f>G7*F7</x:f>
        <x:v>1.62</x:v>
      </x:c>
      <x:c r="I7" s="14" t="n">
        <x:f>C7+G7*E7-B7</x:f>
        <x:v>0</x:v>
      </x:c>
      <x:c r="J7" s="15" t="n">
        <x:f>Ingredients!G7</x:f>
        <x:v>1.62</x:v>
      </x:c>
      <x:c r="K7" s="1" t="n">
        <x:f>Setup!$B$6</x:f>
        <x:v>6</x:v>
      </x:c>
    </x:row>
    <x:row r="8" ht="23" customHeight="1">
      <x:c r="A8" s="1" t="str">
        <x:f>Ingredients!A8</x:f>
        <x:v>Pecorino Romano</x:v>
      </x:c>
      <x:c r="B8" s="14" t="n">
        <x:f>Ingredients!F8</x:f>
        <x:v>120</x:v>
      </x:c>
      <x:c r="C8" s="14" t="n">
        <x:f>Ingredients!C8</x:f>
        <x:v>10</x:v>
      </x:c>
      <x:c r="D8" s="14" t="n">
        <x:f>MAX(0,B8-C8)</x:f>
        <x:v>110</x:v>
      </x:c>
      <x:c r="E8" s="14" t="n">
        <x:f>Ingredients!D8</x:f>
        <x:v>100</x:v>
      </x:c>
      <x:c r="F8" s="15" t="n">
        <x:f>Ingredients!E8</x:f>
        <x:v>3.5</x:v>
      </x:c>
      <x:c r="G8" s="9" t="n">
        <x:f>ROUNDUP(D8/E8,0)</x:f>
        <x:v>2</x:v>
      </x:c>
      <x:c r="H8" s="15" t="n">
        <x:f>G8*F8</x:f>
        <x:v>7</x:v>
      </x:c>
      <x:c r="I8" s="14" t="n">
        <x:f>C8+G8*E8-B8</x:f>
        <x:v>90</x:v>
      </x:c>
      <x:c r="J8" s="15" t="n">
        <x:f>Ingredients!G8</x:f>
        <x:v>4.2</x:v>
      </x:c>
      <x:c r="K8" s="1" t="n">
        <x:f>Setup!$B$6</x:f>
        <x:v>6</x:v>
      </x:c>
    </x:row>
    <x:row r="9" ht="23" customHeight="1">
      <x:c r="A9" s="1" t="str">
        <x:f>Ingredients!A9</x:f>
        <x:v>Black pepper</x:v>
      </x:c>
      <x:c r="B9" s="14" t="n">
        <x:f>Ingredients!F9</x:f>
        <x:v>3</x:v>
      </x:c>
      <x:c r="C9" s="14" t="n">
        <x:f>Ingredients!C9</x:f>
        <x:v>2</x:v>
      </x:c>
      <x:c r="D9" s="14" t="n">
        <x:f>MAX(0,B9-C9)</x:f>
        <x:v>1</x:v>
      </x:c>
      <x:c r="E9" s="14" t="n">
        <x:f>Ingredients!D9</x:f>
        <x:v>50</x:v>
      </x:c>
      <x:c r="F9" s="15" t="n">
        <x:f>Ingredients!E9</x:f>
        <x:v>2.5</x:v>
      </x:c>
      <x:c r="G9" s="9" t="n">
        <x:f>ROUNDUP(D9/E9,0)</x:f>
        <x:v>1</x:v>
      </x:c>
      <x:c r="H9" s="15" t="n">
        <x:f>G9*F9</x:f>
        <x:v>2.5</x:v>
      </x:c>
      <x:c r="I9" s="14" t="n">
        <x:f>C9+G9*E9-B9</x:f>
        <x:v>49</x:v>
      </x:c>
      <x:c r="J9" s="15" t="n">
        <x:f>Ingredients!G9</x:f>
        <x:v>0.15</x:v>
      </x:c>
      <x:c r="K9" s="1" t="n">
        <x:f>Setup!$B$6</x:f>
        <x:v>6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5"/>
      <x:c r="I10" s="1"/>
      <x:c r="J10" s="15"/>
      <x:c r="K10" s="1"/>
    </x:row>
    <x:row r="11" ht="23" customHeight="1">
      <x:c r="A11" s="18" t="str">
        <x:v>Totals</x:v>
      </x:c>
      <x:c r="B11" s="18"/>
      <x:c r="C11" s="18"/>
      <x:c r="D11" s="18"/>
      <x:c r="E11" s="18"/>
      <x:c r="F11" s="18"/>
      <x:c r="G11" s="18"/>
      <x:c r="H11" s="19" t="n">
        <x:f>SUM(H5:H9)</x:f>
        <x:v>25.62</x:v>
      </x:c>
      <x:c r="I11" s="18"/>
      <x:c r="J11" s="19" t="n">
        <x:f>SUM(J5:J9)</x:f>
        <x:v>18.569999999999997</x:v>
      </x:c>
      <x:c r="K11" s="18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</x:sheetData>
  <x:conditionalFormatting sqref="A5:K9">
    <x:cfRule type="expression" dxfId="0" priority="1">
      <x:formula>$G5&gt;0</x:formula>
    </x:cfRule>
  </x:conditionalFormatting>
  <x:conditionalFormatting sqref="H11:H11">
    <x:cfRule type="expression" dxfId="1" priority="2">
      <x:formula>H11&gt;Setup!$B$7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3247"/>
  </x:sheetPr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3" customHeight="1">
      <x:c r="A2" s="2" t="str">
        <x:v>Carbonara cost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44" customHeight="1">
      <x:c r="A4" s="7" t="str">
        <x:v>Meal summary</x:v>
      </x:c>
      <x:c r="B4" s="7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</x:row>
    <x:row r="5" ht="23" customHeight="1">
      <x:c r="A5" s="1" t="str">
        <x:v>Desired servings</x:v>
      </x:c>
      <x:c r="B5" s="1" t="n">
        <x:f>Setup!B6</x:f>
        <x:v>6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23" customHeight="1">
      <x:c r="A6" s="1" t="str">
        <x:v>Used-ingredient cost</x:v>
      </x:c>
      <x:c r="B6" s="15" t="n">
        <x:f>ShoppingList!J11</x:f>
        <x:v>18.569999999999997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23" customHeight="1">
      <x:c r="A7" s="1" t="str">
        <x:v>Used cost per serving</x:v>
      </x:c>
      <x:c r="B7" s="15" t="n">
        <x:f>B6/B5</x:f>
        <x:v>3.0949999999999993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23" customHeight="1">
      <x:c r="A8" s="1" t="str">
        <x:v>Total purchase cost</x:v>
      </x:c>
      <x:c r="B8" s="15" t="n">
        <x:f>ShoppingList!H11</x:f>
        <x:v>25.62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23" customHeight="1">
      <x:c r="A9" s="1" t="str">
        <x:v>Shopping budget</x:v>
      </x:c>
      <x:c r="B9" s="15" t="n">
        <x:f>Setup!B7</x:f>
        <x:v>20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23" customHeight="1">
      <x:c r="A10" s="1" t="str">
        <x:v>Budget remaining</x:v>
      </x:c>
      <x:c r="B10" s="15" t="n">
        <x:f>B9-B8</x:f>
        <x:v>-5.620000000000001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3" customHeight="1">
      <x:c r="A11" s="1" t="str">
        <x:v>Budget status</x:v>
      </x:c>
      <x:c r="B11" s="1" t="str">
        <x:f>IF(B8&lt;=B9,"Within budget","Over budget")</x:f>
        <x:v>Over budget</x:v>
      </x:c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44" customHeight="1">
      <x:c r="A15" s="7" t="str">
        <x:v>Ingredient</x:v>
      </x:c>
      <x:c r="B15" s="7" t="str">
        <x:v>Purchase cost (USD)</x:v>
      </x:c>
      <x:c r="C15" s="7" t="str">
        <x:v>Used cost (USD)</x:v>
      </x:c>
      <x:c r="D15" s="1"/>
      <x:c r="E15" s="1"/>
      <x:c r="F15" s="1"/>
      <x:c r="G15" s="1"/>
      <x:c r="H15" s="1"/>
      <x:c r="I15" s="1"/>
      <x:c r="J15" s="1"/>
      <x:c r="K15" s="1"/>
    </x:row>
    <x:row r="16" ht="23" customHeight="1">
      <x:c r="A16" s="1" t="str">
        <x:f>ShoppingList!A5</x:f>
        <x:v>Spaghetti (dry)</x:v>
      </x:c>
      <x:c r="B16" s="15" t="n">
        <x:f>ShoppingList!H5</x:f>
        <x:v>2.5</x:v>
      </x:c>
      <x:c r="C16" s="15" t="n">
        <x:f>ShoppingList!J5</x:f>
        <x:v>3</x:v>
      </x:c>
      <x:c r="D16" s="1"/>
      <x:c r="E16" s="1"/>
      <x:c r="F16" s="1"/>
      <x:c r="G16" s="1"/>
      <x:c r="H16" s="1"/>
      <x:c r="I16" s="1"/>
      <x:c r="J16" s="1"/>
      <x:c r="K16" s="1"/>
    </x:row>
    <x:row r="17" ht="23" customHeight="1">
      <x:c r="A17" s="1" t="str">
        <x:f>ShoppingList!A6</x:f>
        <x:v>Guanciale</x:v>
      </x:c>
      <x:c r="B17" s="15" t="n">
        <x:f>ShoppingList!H6</x:f>
        <x:v>12</x:v>
      </x:c>
      <x:c r="C17" s="15" t="n">
        <x:f>ShoppingList!J6</x:f>
        <x:v>9.6</x:v>
      </x:c>
      <x:c r="D17" s="1"/>
      <x:c r="E17" s="1"/>
      <x:c r="F17" s="1"/>
      <x:c r="G17" s="1"/>
      <x:c r="H17" s="1"/>
      <x:c r="I17" s="1"/>
      <x:c r="J17" s="1"/>
      <x:c r="K17" s="1"/>
    </x:row>
    <x:row r="18" ht="23" customHeight="1">
      <x:c r="A18" s="1" t="str">
        <x:f>ShoppingList!A7</x:f>
        <x:v>Egg yolks</x:v>
      </x:c>
      <x:c r="B18" s="15" t="n">
        <x:f>ShoppingList!H7</x:f>
        <x:v>1.62</x:v>
      </x:c>
      <x:c r="C18" s="15" t="n">
        <x:f>ShoppingList!J7</x:f>
        <x:v>1.62</x:v>
      </x:c>
      <x:c r="D18" s="1"/>
      <x:c r="E18" s="1"/>
      <x:c r="F18" s="1"/>
      <x:c r="G18" s="1"/>
      <x:c r="H18" s="1"/>
      <x:c r="I18" s="1"/>
      <x:c r="J18" s="1"/>
      <x:c r="K18" s="1"/>
    </x:row>
    <x:row r="19" ht="23" customHeight="1">
      <x:c r="A19" s="1" t="str">
        <x:f>ShoppingList!A8</x:f>
        <x:v>Pecorino Romano</x:v>
      </x:c>
      <x:c r="B19" s="15" t="n">
        <x:f>ShoppingList!H8</x:f>
        <x:v>7</x:v>
      </x:c>
      <x:c r="C19" s="15" t="n">
        <x:f>ShoppingList!J8</x:f>
        <x:v>4.2</x:v>
      </x:c>
      <x:c r="D19" s="1"/>
      <x:c r="E19" s="1"/>
      <x:c r="F19" s="1"/>
      <x:c r="G19" s="1"/>
      <x:c r="H19" s="1"/>
      <x:c r="I19" s="1"/>
      <x:c r="J19" s="1"/>
      <x:c r="K19" s="1"/>
    </x:row>
    <x:row r="20" ht="23" customHeight="1">
      <x:c r="A20" s="1" t="str">
        <x:f>ShoppingList!A9</x:f>
        <x:v>Black pepper</x:v>
      </x:c>
      <x:c r="B20" s="15" t="n">
        <x:f>ShoppingList!H9</x:f>
        <x:v>2.5</x:v>
      </x:c>
      <x:c r="C20" s="15" t="n">
        <x:f>ShoppingList!J9</x:f>
        <x:v>0.15</x:v>
      </x:c>
      <x:c r="D20" s="1"/>
      <x:c r="E20" s="1"/>
      <x:c r="F20" s="1"/>
      <x:c r="G20" s="1"/>
      <x:c r="H20" s="1"/>
      <x:c r="I20" s="1"/>
      <x:c r="J20" s="1"/>
      <x:c r="K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</x:sheetData>
  <x:conditionalFormatting sqref="B8:B8">
    <x:cfRule type="expression" dxfId="2" priority="1">
      <x:formula>B8&gt;B9</x:formula>
    </x:cfRule>
  </x:conditionalFormatting>
  <x:conditionalFormatting sqref="B11:B11">
    <x:cfRule type="expression" dxfId="3" priority="2">
      <x:formula>B8&gt;B9</x:formula>
    </x:cfRule>
  </x:conditionalFormatting>
  <x:pageMargins left="0.7" right="0.7" top="0.75" bottom="0.75" header="0.3" footer="0.3"/>
  <x:drawing xmlns:r="http://schemas.openxmlformats.org/officeDocument/2006/relationships" r:id="Re55dc2d88a624e2e"/>
</x:worksheet>
</file>