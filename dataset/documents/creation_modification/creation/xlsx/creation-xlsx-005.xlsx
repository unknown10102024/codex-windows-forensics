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dcec0d5ad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019a3b1bccee45fd"/>
    <x:sheet xmlns:r="http://schemas.openxmlformats.org/officeDocument/2006/relationships" name="Ingredients" sheetId="2" r:id="R4495e0929ab841ef"/>
    <x:sheet xmlns:r="http://schemas.openxmlformats.org/officeDocument/2006/relationships" name="ShoppingList" sheetId="3" r:id="R5a8b52a3919b4301"/>
    <x:sheet xmlns:r="http://schemas.openxmlformats.org/officeDocument/2006/relationships" name="Dashboard" sheetId="4" r:id="Reb5fa3b72abf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;[Red]-$#,##0.00;$0.00"/>
    <x:numFmt numFmtId="202" formatCode="#,##0.0"/>
  </x:numFmts>
  <x:fonts count="9">
    <x:font>
      <x:sz val="11"/>
      <x:name val="Carlito"/>
    </x:font>
    <x:font>
      <x:sz val="11"/>
      <x:color rgb="FF223249"/>
      <x:name val="Arial"/>
    </x:font>
    <x:font>
      <x:b/>
      <x:sz val="17"/>
      <x:color rgb="FF223249"/>
      <x:name val="Arial"/>
    </x:font>
    <x:font>
      <x:b/>
      <x:sz val="11"/>
      <x:color rgb="FF223249"/>
      <x:name val="Arial"/>
    </x:font>
    <x:font>
      <x:b/>
      <x:sz val="11"/>
      <x:color rgb="FF164C90"/>
      <x:name val="Arial"/>
    </x:font>
    <x:font>
      <x:sz val="11"/>
      <x:color rgb="FF55677B"/>
      <x:name val="Arial"/>
    </x:font>
    <x:font>
      <x:i/>
      <x:sz val="11"/>
      <x:color rgb="FF55677B"/>
      <x:name val="Arial"/>
    </x:font>
    <x:font>
      <x:b/>
      <x:sz val="11"/>
      <x:color rgb="FFFFFFFF"/>
      <x:name val="Arial"/>
    </x:font>
    <x:font>
      <x:sz val="11"/>
      <x:color rgb="FF164C9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FF3F7"/>
      </x:patternFill>
    </x:fill>
    <x:fill>
      <x:patternFill patternType="solid">
        <x:fgColor rgb="FFFFF1CD"/>
      </x:patternFill>
    </x:fill>
    <x:fill>
      <x:patternFill patternType="solid">
        <x:fgColor rgb="FF294765"/>
      </x:patternFill>
    </x:fill>
    <x:fill>
      <x:patternFill patternType="solid">
        <x:fgColor rgb="FFFFFFFF"/>
      </x:patternFill>
    </x:fill>
    <x:fill>
      <x:patternFill patternType="solid">
        <x:fgColor rgb="FFF4F6F9"/>
      </x:patternFill>
    </x:fill>
  </x:fills>
  <x:borders count="3">
    <x:border/>
    <x:border>
      <x:bottom style="thin">
        <x:color rgb="FFD5DEE6"/>
      </x:bottom>
    </x:border>
    <x:border>
      <x:top style="thin">
        <x:color rgb="FF294765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right" vertical="center"/>
    </x:xf>
    <x:xf numFmtId="202" fontId="8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1" fontId="3" fillId="2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 patternType="solid">
          <x:bgColor rgb="FFFFF4D7"/>
        </x:patternFill>
      </x:fill>
    </x:dxf>
    <x:dxf>
      <x:font>
        <x:b/>
        <x:color rgb="FF9F2435"/>
      </x:font>
      <x:fill>
        <x:patternFill patternType="solid">
          <x:bgColor rgb="FFFCE6E9"/>
        </x:patternFill>
      </x:fill>
    </x:dxf>
    <x:dxf>
      <x:font>
        <x:b/>
        <x:color rgb="FF9F2435"/>
      </x:font>
      <x:fill>
        <x:patternFill patternType="solid">
          <x:bgColor rgb="FFFCE6E9"/>
        </x:patternFill>
      </x:fill>
    </x:dxf>
    <x:dxf>
      <x:font>
        <x:b/>
        <x:color rgb="FF9F2435"/>
      </x:font>
      <x:fill>
        <x:patternFill patternType="solid">
          <x:bgColor rgb="FFFCE6E9"/>
        </x:patternFill>
      </x:fill>
    </x:dxf>
    <x:dxf>
      <x:font>
        <x:b/>
        <x:color rgb="FF9F2435"/>
      </x:font>
      <x:fill>
        <x:patternFill patternType="solid">
          <x:bgColor rgb="FFFCE6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9f449984d40ec" /><Relationship Type="http://schemas.openxmlformats.org/officeDocument/2006/relationships/theme" Target="/xl/theme/theme1.xml" Id="Rf32b3f9752bf41cf" /><Relationship Type="http://schemas.openxmlformats.org/officeDocument/2006/relationships/sharedStrings" Target="/xl/sharedStrings.xml" Id="R734a385730234c37" /><Relationship Type="http://schemas.openxmlformats.org/officeDocument/2006/relationships/worksheet" Target="/xl/worksheets/sheet1.xml" Id="R019a3b1bccee45fd" /><Relationship Type="http://schemas.openxmlformats.org/officeDocument/2006/relationships/worksheet" Target="/xl/worksheets/sheet2.xml" Id="R4495e0929ab841ef" /><Relationship Type="http://schemas.openxmlformats.org/officeDocument/2006/relationships/worksheet" Target="/xl/worksheets/sheet3.xml" Id="R5a8b52a3919b4301" /><Relationship Type="http://schemas.openxmlformats.org/officeDocument/2006/relationships/worksheet" Target="/xl/worksheets/sheet4.xml" Id="Reb5fa3b72abf43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2d2122ecff417f" /><Relationship Type="http://schemas.openxmlformats.org/officeDocument/2006/relationships/chart" Target="/xl/drawings/charts/chart2.xml" Id="R03dbc622f5834a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294765"/>
            </a:solidFill>
          </c:spPr>
          <c:cat>
            <c:strRef>
              <c:f>'ShoppingList'!$A$7:$A$11</c:f>
              <c:strCache>
                <c:ptCount val="0"/>
              </c:strCache>
            </c:strRef>
          </c:cat>
          <c:val>
            <c:numRef>
              <c:f>'ShoppingList'!$H$7:$H$11</c:f>
              <c:numCache>
                <c:formatCode>$#,##0.00;[Red]-$#,##0.00;$0.00</c:formatCode>
                <c:ptCount val="0"/>
              </c:numCache>
            </c:numRef>
          </c:val>
        </c:ser>
        <c:gapWidth val="8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 (USD)</c:v>
          </c:tx>
          <c:cat>
            <c:strRef>
              <c:f>'Ingredients'!$A$7:$A$11</c:f>
              <c:strCache>
                <c:ptCount val="0"/>
              </c:strCache>
            </c:strRef>
          </c:cat>
          <c:val>
            <c:numRef>
              <c:f>'Ingredients'!$G$7:$G$11</c:f>
              <c:numCache>
                <c:formatCode>$#,##0.00;[Red]-$#,##0.00;$0.00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2d2122ecff417f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dbc622f5834a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6:G11" headerRowCount="1" totalsRowCount="0" totalsRowShown="0">
  <x:autoFilter ref="A6:G11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aa43f570f44d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7f0025d42524209" /></Relationships>
</file>

<file path=xl/worksheets/sheet1.xml><?xml version="1.0" encoding="utf-8"?>
<x:worksheet xmlns:x="http://schemas.openxmlformats.org/spreadsheetml/2006/main">
  <x:sheetPr>
    <x:tabColor rgb="FF6D849D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" hidden="0" customWidth="1"/>
    <x:col min="4" max="4" width="67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1" customHeight="1">
      <x:c r="A2" s="3" t="str">
        <x:v>Carbonara meal setup</x:v>
      </x:c>
      <x:c r="B2" s="2"/>
      <x:c r="C2" s="2"/>
      <x:c r="D2" s="2"/>
      <x:c r="E2" s="2"/>
      <x:c r="F2" s="2"/>
    </x:row>
    <x:row r="3" ht="25" customHeight="1">
      <x:c r="A3" s="4"/>
      <x:c r="B3" s="4"/>
      <x:c r="C3" s="4"/>
      <x:c r="D3" s="4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5" t="str">
        <x:v>Base recipe servings</x:v>
      </x:c>
      <x:c r="B5" s="10" t="n">
        <x:v>2</x:v>
      </x:c>
      <x:c r="C5" s="2"/>
      <x:c r="D5" s="13" t="str">
        <x:v>Recipe quantities are defined for 2 servings.</x:v>
      </x:c>
      <x:c r="E5" s="2"/>
      <x:c r="F5" s="2"/>
    </x:row>
    <x:row r="6" ht="25" customHeight="1">
      <x:c r="A6" s="5" t="str">
        <x:v>Desired servings</x:v>
      </x:c>
      <x:c r="B6" s="11" t="n">
        <x:v>6</x:v>
      </x:c>
      <x:c r="C6" s="2"/>
      <x:c r="D6" s="13" t="str">
        <x:v>Edit the amber cell. Enter a whole number from 1 to 20.</x:v>
      </x:c>
      <x:c r="E6" s="2"/>
      <x:c r="F6" s="2"/>
    </x:row>
    <x:row r="7" ht="25" customHeight="1">
      <x:c r="A7" s="5" t="str">
        <x:v>Shopping budget (USD)</x:v>
      </x:c>
      <x:c r="B7" s="12" t="n">
        <x:v>20</x:v>
      </x:c>
      <x:c r="C7" s="2"/>
      <x:c r="D7" s="13" t="str">
        <x:v>Edit the amber cell. Enter zero or a positive USD amount.</x:v>
      </x:c>
      <x:c r="E7" s="2"/>
      <x:c r="F7" s="2"/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2"/>
      <x:c r="B9" s="2"/>
      <x:c r="C9" s="2"/>
      <x:c r="D9" s="2"/>
      <x:c r="E9" s="2"/>
      <x:c r="F9" s="2"/>
    </x:row>
    <x:row r="10" ht="25" customHeight="1">
      <x:c r="A10" s="5" t="str">
        <x:v>How to use</x:v>
      </x:c>
      <x:c r="B10" s="2"/>
      <x:c r="C10" s="2"/>
      <x:c r="D10" s="2"/>
      <x:c r="E10" s="2"/>
      <x:c r="F10" s="2"/>
    </x:row>
    <x:row r="11" ht="25" customHeight="1">
      <x:c r="A11" s="2" t="str">
        <x:v>1. Choose servings and budget above.</x:v>
      </x:c>
      <x:c r="B11" s="2"/>
      <x:c r="C11" s="2"/>
      <x:c r="D11" s="2"/>
      <x:c r="E11" s="2"/>
      <x:c r="F11" s="2"/>
    </x:row>
    <x:row r="12" ht="25" customHeight="1">
      <x:c r="A12" s="2" t="str">
        <x:v>2. Edit the amber ingredient inputs, including available stock and prices.</x:v>
      </x:c>
      <x:c r="B12" s="2"/>
      <x:c r="C12" s="2"/>
      <x:c r="D12" s="2"/>
      <x:c r="E12" s="2"/>
      <x:c r="F12" s="2"/>
    </x:row>
    <x:row r="13" ht="25" customHeight="1">
      <x:c r="A13" s="2" t="str">
        <x:v>3. Review whole packages to buy on ShoppingList and costs on Dashboard.</x:v>
      </x:c>
      <x:c r="B13" s="2"/>
      <x:c r="C13" s="2"/>
      <x:c r="D13" s="2"/>
      <x:c r="E13" s="2"/>
      <x:c r="F13" s="2"/>
    </x:row>
    <x:row r="14" ht="25" customHeight="1">
      <x:c r="A14" s="2"/>
      <x:c r="B14" s="2"/>
      <x:c r="C14" s="2"/>
      <x:c r="D14" s="2"/>
      <x:c r="E14" s="2"/>
      <x:c r="F14" s="2"/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 t="str">
        <x:v>Used cost values everything cooked at the package unit price, including existing stock.</x:v>
      </x:c>
      <x:c r="B16" s="2"/>
      <x:c r="C16" s="2"/>
      <x:c r="D16" s="2"/>
      <x:c r="E16" s="2"/>
      <x:c r="F16" s="2"/>
    </x:row>
    <x:row r="17" ht="25" customHeight="1">
      <x:c r="A17" s="2" t="str">
        <x:v>Purchase cost covers only the whole packages needed beyond available stock.</x:v>
      </x:c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</x:sheetData>
  <x:dataValidations count="2">
    <x:dataValidation type="whole" errorStyle="stop" operator="between" allowBlank="0" showErrorMessage="1" errorTitle="Check this input" error="Enter a whole number from 1 through 20." sqref="B6">
      <x:formula1>1</x:formula1>
      <x:formula2>20</x:formula2>
    </x:dataValidation>
    <x:dataValidation type="decimal" errorStyle="stop" operator="greaterThanOrEqual" allowBlank="0" showErrorMessage="1" errorTitle="Check this input" error="Enter a nonnegative budget in USD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1" customHeight="1">
      <x:c r="A2" s="3" t="str">
        <x:v>Carbonara ingredients</x:v>
      </x:c>
      <x:c r="B2" s="2"/>
      <x:c r="C2" s="2"/>
      <x:c r="D2" s="2"/>
      <x:c r="E2" s="2"/>
      <x:c r="F2" s="2"/>
      <x:c r="G2" s="2"/>
    </x:row>
    <x:row r="3" ht="25" customHeight="1">
      <x:c r="A3" s="4"/>
      <x:c r="B3" s="4"/>
      <x:c r="C3" s="4"/>
      <x:c r="D3" s="4"/>
      <x:c r="E3" s="4"/>
      <x:c r="F3" s="4"/>
      <x:c r="G3" s="4"/>
    </x:row>
    <x:row r="4" ht="25" customHeight="1">
      <x:c r="A4" s="14" t="str">
        <x:v>Source: user-supplied illustrative quantities and prices. Amber cells are editable.</x:v>
      </x:c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46" customHeight="1">
      <x:c r="A6" s="18" t="str">
        <x:v>Ingredient</x:v>
      </x:c>
      <x:c r="B6" s="18" t="str">
        <x:v>Base quantity (g)</x:v>
      </x:c>
      <x:c r="C6" s="18" t="str">
        <x:v>Stock available (g)</x:v>
      </x:c>
      <x:c r="D6" s="18" t="str">
        <x:v>Package size (g)</x:v>
      </x:c>
      <x:c r="E6" s="18" t="str">
        <x:v>Package price (USD)</x:v>
      </x:c>
      <x:c r="F6" s="18" t="str">
        <x:v>Required quantity (g)</x:v>
      </x:c>
      <x:c r="G6" s="18" t="str">
        <x:v>Used-ingredient cost (USD)</x:v>
      </x:c>
    </x:row>
    <x:row r="7" ht="25" customHeight="1">
      <x:c r="A7" s="2" t="str">
        <x:v>Spaghetti (dry)</x:v>
      </x:c>
      <x:c r="B7" s="21" t="n">
        <x:v>200</x:v>
      </x:c>
      <x:c r="C7" s="21" t="n">
        <x:v>100</x:v>
      </x:c>
      <x:c r="D7" s="21" t="n">
        <x:v>500</x:v>
      </x:c>
      <x:c r="E7" s="23" t="n">
        <x:v>2.5</x:v>
      </x:c>
      <x:c r="F7" s="22" t="n">
        <x:f>B7*Setup!$B$6/Setup!$B$5</x:f>
        <x:v>600</x:v>
      </x:c>
      <x:c r="G7" s="24" t="n">
        <x:f>F7/D7*E7</x:f>
        <x:v>3</x:v>
      </x:c>
    </x:row>
    <x:row r="8" ht="25" customHeight="1">
      <x:c r="A8" s="2" t="str">
        <x:v>Guanciale</x:v>
      </x:c>
      <x:c r="B8" s="21" t="n">
        <x:v>80</x:v>
      </x:c>
      <x:c r="C8" s="21" t="n">
        <x:v>20</x:v>
      </x:c>
      <x:c r="D8" s="21" t="n">
        <x:v>100</x:v>
      </x:c>
      <x:c r="E8" s="23" t="n">
        <x:v>4</x:v>
      </x:c>
      <x:c r="F8" s="22" t="n">
        <x:f>B8*Setup!$B$6/Setup!$B$5</x:f>
        <x:v>240</x:v>
      </x:c>
      <x:c r="G8" s="24" t="n">
        <x:f>F8/D8*E8</x:f>
        <x:v>9.6</x:v>
      </x:c>
    </x:row>
    <x:row r="9" ht="25" customHeight="1">
      <x:c r="A9" s="2" t="str">
        <x:v>Egg yolks</x:v>
      </x:c>
      <x:c r="B9" s="21" t="n">
        <x:v>36</x:v>
      </x:c>
      <x:c r="C9" s="21" t="n">
        <x:v>0</x:v>
      </x:c>
      <x:c r="D9" s="21" t="n">
        <x:v>36</x:v>
      </x:c>
      <x:c r="E9" s="23" t="n">
        <x:v>0.54</x:v>
      </x:c>
      <x:c r="F9" s="22" t="n">
        <x:f>B9*Setup!$B$6/Setup!$B$5</x:f>
        <x:v>108</x:v>
      </x:c>
      <x:c r="G9" s="24" t="n">
        <x:f>F9/D9*E9</x:f>
        <x:v>1.62</x:v>
      </x:c>
    </x:row>
    <x:row r="10" ht="25" customHeight="1">
      <x:c r="A10" s="2" t="str">
        <x:v>Pecorino Romano</x:v>
      </x:c>
      <x:c r="B10" s="21" t="n">
        <x:v>40</x:v>
      </x:c>
      <x:c r="C10" s="21" t="n">
        <x:v>10</x:v>
      </x:c>
      <x:c r="D10" s="21" t="n">
        <x:v>100</x:v>
      </x:c>
      <x:c r="E10" s="23" t="n">
        <x:v>3.5</x:v>
      </x:c>
      <x:c r="F10" s="22" t="n">
        <x:f>B10*Setup!$B$6/Setup!$B$5</x:f>
        <x:v>120</x:v>
      </x:c>
      <x:c r="G10" s="24" t="n">
        <x:f>F10/D10*E10</x:f>
        <x:v>4.2</x:v>
      </x:c>
    </x:row>
    <x:row r="11" ht="25" customHeight="1">
      <x:c r="A11" s="2" t="str">
        <x:v>Black pepper</x:v>
      </x:c>
      <x:c r="B11" s="21" t="n">
        <x:v>1</x:v>
      </x:c>
      <x:c r="C11" s="21" t="n">
        <x:v>2</x:v>
      </x:c>
      <x:c r="D11" s="21" t="n">
        <x:v>50</x:v>
      </x:c>
      <x:c r="E11" s="23" t="n">
        <x:v>2.5</x:v>
      </x:c>
      <x:c r="F11" s="22" t="n">
        <x:f>B11*Setup!$B$6/Setup!$B$5</x:f>
        <x:v>3</x:v>
      </x:c>
      <x:c r="G11" s="24" t="n">
        <x:f>F11/D11*E11</x:f>
        <x:v>0.15</x:v>
      </x:c>
    </x:row>
    <x:row r="12" ht="25" customHeight="1">
      <x:c r="A12" s="2"/>
      <x:c r="B12" s="2"/>
      <x:c r="C12" s="2"/>
      <x:c r="D12" s="2"/>
      <x:c r="E12" s="2"/>
      <x:c r="F12" s="2"/>
      <x:c r="G12" s="2"/>
    </x:row>
    <x:row r="13" ht="25" customHeight="1">
      <x:c r="A13" s="2"/>
      <x:c r="B13" s="2"/>
      <x:c r="C13" s="2"/>
      <x:c r="D13" s="2"/>
      <x:c r="E13" s="2"/>
      <x:c r="F13" s="2"/>
      <x:c r="G13" s="2"/>
    </x:row>
    <x:row r="14" ht="25" customHeight="1">
      <x:c r="A14" s="2" t="str">
        <x:v>All quantities and package sizes are in grams. Egg yolks exclude shells and egg whites.</x:v>
      </x:c>
      <x:c r="B14" s="2"/>
      <x:c r="C14" s="2"/>
      <x:c r="D14" s="2"/>
      <x:c r="E14" s="2"/>
      <x:c r="F14" s="2"/>
      <x:c r="G14" s="2"/>
    </x:row>
    <x:row r="15" ht="25" customHeight="1">
      <x:c r="A15" s="2" t="str">
        <x:v>Required quantity = base quantity × desired servings ÷ base servings.</x:v>
      </x:c>
      <x:c r="B15" s="2"/>
      <x:c r="C15" s="2"/>
      <x:c r="D15" s="2"/>
      <x:c r="E15" s="2"/>
      <x:c r="F15" s="2"/>
      <x:c r="G15" s="2"/>
    </x:row>
    <x:row r="16" ht="25" customHeight="1">
      <x:c r="A16" s="2" t="str">
        <x:v>Used cost = required quantity ÷ package size × package price. Full precision is retained.</x:v>
      </x:c>
      <x:c r="B16" s="2"/>
      <x:c r="C16" s="2"/>
      <x:c r="D16" s="2"/>
      <x:c r="E16" s="2"/>
      <x:c r="F16" s="2"/>
      <x:c r="G16" s="2"/>
    </x:row>
  </x:sheetData>
  <x:dataValidations count="3">
    <x:dataValidation type="decimal" errorStyle="stop" operator="greaterThanOrEqual" allowBlank="0" showErrorMessage="1" errorTitle="Check this input" error="Enter zero or a positive quantity in grams." sqref="B7:C11">
      <x:formula1>0</x:formula1>
    </x:dataValidation>
    <x:dataValidation type="decimal" errorStyle="stop" operator="greaterThan" allowBlank="0" showErrorMessage="1" errorTitle="Check this input" error="Package size must be greater than zero." sqref="D7:D11">
      <x:formula1>0</x:formula1>
    </x:dataValidation>
    <x:dataValidation type="decimal" errorStyle="stop" operator="greaterThanOrEqual" allowBlank="0" showErrorMessage="1" errorTitle="Check this input" error="Enter zero or a positive package price." sqref="E7:E1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aa43f570f44d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1" customHeight="1">
      <x:c r="A2" s="3" t="str">
        <x:v>Carbonara shopping list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 t="str">
        <x:v>Desired servings</x:v>
      </x:c>
      <x:c r="B4" s="2" t="n">
        <x:f>Setup!B6</x:f>
        <x:v>6</x:v>
      </x:c>
      <x:c r="C4" s="2"/>
      <x:c r="D4" s="2" t="str">
        <x:v>Amber rows require a purchase.</x:v>
      </x:c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6" customHeight="1">
      <x:c r="A6" s="18" t="str">
        <x:v>Ingredient</x:v>
      </x:c>
      <x:c r="B6" s="18" t="str">
        <x:v>Required (g)</x:v>
      </x:c>
      <x:c r="C6" s="18" t="str">
        <x:v>Stock available (g)</x:v>
      </x:c>
      <x:c r="D6" s="18" t="str">
        <x:v>Additional needed (g)</x:v>
      </x:c>
      <x:c r="E6" s="18" t="str">
        <x:v>Package size (g)</x:v>
      </x:c>
      <x:c r="F6" s="18" t="str">
        <x:v>Package price (USD)</x:v>
      </x:c>
      <x:c r="G6" s="18" t="str">
        <x:v>Whole packages to buy</x:v>
      </x:c>
      <x:c r="H6" s="18" t="str">
        <x:v>Purchase cost (USD)</x:v>
      </x:c>
      <x:c r="I6" s="18" t="str">
        <x:v>Stock after cooking (g)</x:v>
      </x:c>
      <x:c r="J6" s="18" t="str">
        <x:v>Used-ingredient cost (USD)</x:v>
      </x:c>
    </x:row>
    <x:row r="7" ht="25" customHeight="1">
      <x:c r="A7" s="25" t="str">
        <x:f>Ingredients!A7</x:f>
        <x:v>Spaghetti (dry)</x:v>
      </x:c>
      <x:c r="B7" s="27" t="n">
        <x:f>Ingredients!F7</x:f>
        <x:v>600</x:v>
      </x:c>
      <x:c r="C7" s="27" t="n">
        <x:f>Ingredients!C7</x:f>
        <x:v>100</x:v>
      </x:c>
      <x:c r="D7" s="27" t="n">
        <x:f>MAX(0,B7-C7)</x:f>
        <x:v>500</x:v>
      </x:c>
      <x:c r="E7" s="27" t="n">
        <x:f>Ingredients!D7</x:f>
        <x:v>500</x:v>
      </x:c>
      <x:c r="F7" s="29" t="n">
        <x:f>Ingredients!E7</x:f>
        <x:v>2.5</x:v>
      </x:c>
      <x:c r="G7" s="31" t="n">
        <x:f>ROUNDUP(D7/E7,0)</x:f>
        <x:v>1</x:v>
      </x:c>
      <x:c r="H7" s="29" t="n">
        <x:f>G7*F7</x:f>
        <x:v>2.5</x:v>
      </x:c>
      <x:c r="I7" s="27" t="n">
        <x:f>C7+G7*E7-B7</x:f>
        <x:v>0</x:v>
      </x:c>
      <x:c r="J7" s="29" t="n">
        <x:f>Ingredients!G7</x:f>
        <x:v>3</x:v>
      </x:c>
    </x:row>
    <x:row r="8" ht="25" customHeight="1">
      <x:c r="A8" s="26" t="str">
        <x:f>Ingredients!A8</x:f>
        <x:v>Guanciale</x:v>
      </x:c>
      <x:c r="B8" s="28" t="n">
        <x:f>Ingredients!F8</x:f>
        <x:v>240</x:v>
      </x:c>
      <x:c r="C8" s="28" t="n">
        <x:f>Ingredients!C8</x:f>
        <x:v>20</x:v>
      </x:c>
      <x:c r="D8" s="28" t="n">
        <x:f>MAX(0,B8-C8)</x:f>
        <x:v>220</x:v>
      </x:c>
      <x:c r="E8" s="28" t="n">
        <x:f>Ingredients!D8</x:f>
        <x:v>100</x:v>
      </x:c>
      <x:c r="F8" s="30" t="n">
        <x:f>Ingredients!E8</x:f>
        <x:v>4</x:v>
      </x:c>
      <x:c r="G8" s="32" t="n">
        <x:f>ROUNDUP(D8/E8,0)</x:f>
        <x:v>3</x:v>
      </x:c>
      <x:c r="H8" s="30" t="n">
        <x:f>G8*F8</x:f>
        <x:v>12</x:v>
      </x:c>
      <x:c r="I8" s="28" t="n">
        <x:f>C8+G8*E8-B8</x:f>
        <x:v>80</x:v>
      </x:c>
      <x:c r="J8" s="30" t="n">
        <x:f>Ingredients!G8</x:f>
        <x:v>9.6</x:v>
      </x:c>
    </x:row>
    <x:row r="9" ht="25" customHeight="1">
      <x:c r="A9" s="25" t="str">
        <x:f>Ingredients!A9</x:f>
        <x:v>Egg yolks</x:v>
      </x:c>
      <x:c r="B9" s="27" t="n">
        <x:f>Ingredients!F9</x:f>
        <x:v>108</x:v>
      </x:c>
      <x:c r="C9" s="27" t="n">
        <x:f>Ingredients!C9</x:f>
        <x:v>0</x:v>
      </x:c>
      <x:c r="D9" s="27" t="n">
        <x:f>MAX(0,B9-C9)</x:f>
        <x:v>108</x:v>
      </x:c>
      <x:c r="E9" s="27" t="n">
        <x:f>Ingredients!D9</x:f>
        <x:v>36</x:v>
      </x:c>
      <x:c r="F9" s="29" t="n">
        <x:f>Ingredients!E9</x:f>
        <x:v>0.54</x:v>
      </x:c>
      <x:c r="G9" s="31" t="n">
        <x:f>ROUNDUP(D9/E9,0)</x:f>
        <x:v>3</x:v>
      </x:c>
      <x:c r="H9" s="29" t="n">
        <x:f>G9*F9</x:f>
        <x:v>1.62</x:v>
      </x:c>
      <x:c r="I9" s="27" t="n">
        <x:f>C9+G9*E9-B9</x:f>
        <x:v>0</x:v>
      </x:c>
      <x:c r="J9" s="29" t="n">
        <x:f>Ingredients!G9</x:f>
        <x:v>1.62</x:v>
      </x:c>
    </x:row>
    <x:row r="10" ht="25" customHeight="1">
      <x:c r="A10" s="26" t="str">
        <x:f>Ingredients!A10</x:f>
        <x:v>Pecorino Romano</x:v>
      </x:c>
      <x:c r="B10" s="28" t="n">
        <x:f>Ingredients!F10</x:f>
        <x:v>120</x:v>
      </x:c>
      <x:c r="C10" s="28" t="n">
        <x:f>Ingredients!C10</x:f>
        <x:v>10</x:v>
      </x:c>
      <x:c r="D10" s="28" t="n">
        <x:f>MAX(0,B10-C10)</x:f>
        <x:v>110</x:v>
      </x:c>
      <x:c r="E10" s="28" t="n">
        <x:f>Ingredients!D10</x:f>
        <x:v>100</x:v>
      </x:c>
      <x:c r="F10" s="30" t="n">
        <x:f>Ingredients!E10</x:f>
        <x:v>3.5</x:v>
      </x:c>
      <x:c r="G10" s="32" t="n">
        <x:f>ROUNDUP(D10/E10,0)</x:f>
        <x:v>2</x:v>
      </x:c>
      <x:c r="H10" s="30" t="n">
        <x:f>G10*F10</x:f>
        <x:v>7</x:v>
      </x:c>
      <x:c r="I10" s="28" t="n">
        <x:f>C10+G10*E10-B10</x:f>
        <x:v>90</x:v>
      </x:c>
      <x:c r="J10" s="30" t="n">
        <x:f>Ingredients!G10</x:f>
        <x:v>4.2</x:v>
      </x:c>
    </x:row>
    <x:row r="11" ht="25" customHeight="1">
      <x:c r="A11" s="25" t="str">
        <x:f>Ingredients!A11</x:f>
        <x:v>Black pepper</x:v>
      </x:c>
      <x:c r="B11" s="27" t="n">
        <x:f>Ingredients!F11</x:f>
        <x:v>3</x:v>
      </x:c>
      <x:c r="C11" s="27" t="n">
        <x:f>Ingredients!C11</x:f>
        <x:v>2</x:v>
      </x:c>
      <x:c r="D11" s="27" t="n">
        <x:f>MAX(0,B11-C11)</x:f>
        <x:v>1</x:v>
      </x:c>
      <x:c r="E11" s="27" t="n">
        <x:f>Ingredients!D11</x:f>
        <x:v>50</x:v>
      </x:c>
      <x:c r="F11" s="29" t="n">
        <x:f>Ingredients!E11</x:f>
        <x:v>2.5</x:v>
      </x:c>
      <x:c r="G11" s="31" t="n">
        <x:f>ROUNDUP(D11/E11,0)</x:f>
        <x:v>1</x:v>
      </x:c>
      <x:c r="H11" s="29" t="n">
        <x:f>G11*F11</x:f>
        <x:v>2.5</x:v>
      </x:c>
      <x:c r="I11" s="27" t="n">
        <x:f>C11+G11*E11-B11</x:f>
        <x:v>49</x:v>
      </x:c>
      <x:c r="J11" s="29" t="n">
        <x:f>Ingredients!G11</x:f>
        <x:v>0.15</x:v>
      </x:c>
    </x:row>
    <x:row r="12" ht="25" customHeight="1">
      <x:c r="A12" s="2"/>
      <x:c r="B12" s="2"/>
      <x:c r="C12" s="2"/>
      <x:c r="D12" s="2"/>
      <x:c r="E12" s="2"/>
      <x:c r="F12" s="2"/>
      <x:c r="G12" s="2"/>
      <x:c r="H12" s="24"/>
      <x:c r="I12" s="2"/>
      <x:c r="J12" s="24"/>
    </x:row>
    <x:row r="13" ht="25" customHeight="1">
      <x:c r="A13" s="36" t="str">
        <x:v>TOTAL</x:v>
      </x:c>
      <x:c r="B13" s="36"/>
      <x:c r="C13" s="36"/>
      <x:c r="D13" s="36"/>
      <x:c r="E13" s="36"/>
      <x:c r="F13" s="36"/>
      <x:c r="G13" s="36"/>
      <x:c r="H13" s="37" t="n">
        <x:f>SUM(H7:H11)</x:f>
        <x:v>25.62</x:v>
      </x:c>
      <x:c r="I13" s="36"/>
      <x:c r="J13" s="37" t="n">
        <x:f>SUM(J7:J11)</x:f>
        <x:v>18.569999999999997</x:v>
      </x:c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5" customHeight="1">
      <x:c r="A16" s="2" t="str">
        <x:v>Additional need cannot fall below zero. Whole packages are rounded up.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5" customHeight="1">
      <x:c r="A17" s="2" t="str">
        <x:v>Stock after cooking = available stock + purchased quantity − required quantity.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</x:sheetData>
  <x:conditionalFormatting sqref="A7:J11">
    <x:cfRule type="expression" dxfId="0" priority="1">
      <x:formula>$G7&gt;0</x:formula>
    </x:cfRule>
  </x:conditionalFormatting>
  <x:conditionalFormatting sqref="H13:H13">
    <x:cfRule type="expression" dxfId="1" priority="2">
      <x:formula>H13&gt;Setup!$B$7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94765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3" t="str">
        <x:v>Carbonara cost dashboard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 t="str">
        <x:v>Desired servings</x:v>
      </x:c>
      <x:c r="B5" s="38" t="n">
        <x:f>Setup!B6</x:f>
        <x:v>6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 t="str">
        <x:v>Total used-ingredient cost</x:v>
      </x:c>
      <x:c r="B6" s="24" t="n">
        <x:f>ShoppingList!J13</x:f>
        <x:v>18.569999999999997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 ht="23" customHeight="1">
      <x:c r="A7" s="2" t="str">
        <x:v>Used cost per serving</x:v>
      </x:c>
      <x:c r="B7" s="24" t="n">
        <x:f>B6/B5</x:f>
        <x:v>3.0949999999999993</x:v>
      </x:c>
      <x:c r="C7" s="2"/>
      <x:c r="D7" s="2"/>
      <x:c r="E7" s="2"/>
      <x:c r="F7" s="2"/>
      <x:c r="G7" s="2"/>
      <x:c r="H7" s="2"/>
      <x:c r="I7" s="2"/>
      <x:c r="J7" s="2"/>
      <x:c r="K7" s="2"/>
    </x:row>
    <x:row r="8" ht="23" customHeight="1">
      <x:c r="A8" s="2"/>
      <x:c r="B8" s="24"/>
      <x:c r="C8" s="2"/>
      <x:c r="D8" s="2"/>
      <x:c r="E8" s="2"/>
      <x:c r="F8" s="2"/>
      <x:c r="G8" s="2"/>
      <x:c r="H8" s="2"/>
      <x:c r="I8" s="2"/>
      <x:c r="J8" s="2"/>
      <x:c r="K8" s="2"/>
    </x:row>
    <x:row r="9" ht="23" customHeight="1">
      <x:c r="A9" s="34" t="str">
        <x:v>Total purchase cost</x:v>
      </x:c>
      <x:c r="B9" s="35" t="n">
        <x:f>ShoppingList!H13</x:f>
        <x:v>25.62</x:v>
      </x:c>
      <x:c r="C9" s="2"/>
      <x:c r="D9" s="2"/>
      <x:c r="E9" s="2"/>
      <x:c r="F9" s="2"/>
      <x:c r="G9" s="2"/>
      <x:c r="H9" s="2"/>
      <x:c r="I9" s="2"/>
      <x:c r="J9" s="2"/>
      <x:c r="K9" s="2"/>
    </x:row>
    <x:row r="10" ht="23" customHeight="1">
      <x:c r="A10" s="2" t="str">
        <x:v>Shopping budget</x:v>
      </x:c>
      <x:c r="B10" s="24" t="n">
        <x:f>Setup!B7</x:f>
        <x:v>20</x:v>
      </x:c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3" customHeight="1">
      <x:c r="A11" s="2" t="str">
        <x:v>Budget remaining</x:v>
      </x:c>
      <x:c r="B11" s="24" t="n">
        <x:f>B10-B9</x:f>
        <x:v>-5.620000000000001</x:v>
      </x:c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3" customHeight="1">
      <x:c r="A13" s="2" t="str">
        <x:v>Budget status</x:v>
      </x:c>
      <x:c r="B13" s="5" t="str">
        <x:f>IF(B9&lt;=B10,"Within budget","Over budget")</x:f>
        <x:v>Over budget</x:v>
      </x:c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3" customHeight="1">
      <x:c r="A16" s="13" t="str">
        <x:v>Edit servings and budget on Setup.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3" customHeight="1">
      <x:c r="A17" s="13" t="str">
        <x:v>Edit stock and prices on Ingredients.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3" customHeight="1">
      <x:c r="A18" s="13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3" customHeight="1">
      <x:c r="A19" s="13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13" t="str">
        <x:v>All costs in USD.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</x:sheetData>
  <x:conditionalFormatting sqref="B9:B9">
    <x:cfRule type="cellIs" dxfId="2" priority="1" operator="greaterThan">
      <x:formula>$B$10</x:formula>
    </x:cfRule>
  </x:conditionalFormatting>
  <x:conditionalFormatting sqref="B11:B11">
    <x:cfRule type="cellIs" dxfId="3" priority="2" operator="lessThan">
      <x:formula>0</x:formula>
    </x:cfRule>
  </x:conditionalFormatting>
  <x:conditionalFormatting sqref="B13:B13">
    <x:cfRule type="expression" dxfId="4" priority="3">
      <x:formula>$B$9&gt;$B$10</x:formula>
    </x:cfRule>
  </x:conditionalFormatting>
  <x:pageMargins left="0.7" right="0.7" top="0.75" bottom="0.75" header="0.3" footer="0.3"/>
  <x:drawing xmlns:r="http://schemas.openxmlformats.org/officeDocument/2006/relationships" r:id="R37f0025d42524209"/>
</x:worksheet>
</file>