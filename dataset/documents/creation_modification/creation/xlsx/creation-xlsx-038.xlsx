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6223fefbb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da43a50d0801465e"/>
    <x:sheet xmlns:r="http://schemas.openxmlformats.org/officeDocument/2006/relationships" name="Ingredients" sheetId="2" r:id="R9c8a879a94cc4163"/>
    <x:sheet xmlns:r="http://schemas.openxmlformats.org/officeDocument/2006/relationships" name="ShoppingList" sheetId="3" r:id="R7bd7947ff03b4f83"/>
    <x:sheet xmlns:r="http://schemas.openxmlformats.org/officeDocument/2006/relationships" name="Dashboard" sheetId="4" r:id="Rc2465485758d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"/>
    <x:numFmt numFmtId="202" formatCode="0.00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63D52"/>
      <x:name val="Arial"/>
    </x:font>
    <x:font>
      <x:b/>
      <x:sz val="11"/>
      <x:color rgb="FFFFFFFF"/>
      <x:name val="Arial"/>
    </x:font>
    <x:font>
      <x:sz val="11"/>
      <x:color rgb="FF235B9A"/>
      <x:name val="Arial"/>
    </x:font>
    <x:font>
      <x:b/>
      <x:sz val="11"/>
      <x:color rgb="FF243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D52"/>
      </x:patternFill>
    </x:fill>
    <x:fill>
      <x:patternFill patternType="solid">
        <x:fgColor rgb="FFFFF0BB"/>
      </x:patternFill>
    </x:fill>
    <x:fill>
      <x:patternFill patternType="solid">
        <x:fgColor rgb="FFFFF7D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1" fillId="4" borderId="0" xfId="0" applyNumberFormat="1" applyFont="1" applyFill="1" applyBorder="1"/>
    <x:xf numFmtId="202" fontId="1" fillId="4" borderId="0" xfId="0" applyNumberFormat="1" applyFont="1" applyFill="1" applyBorder="1"/>
    <x:xf numFmtId="202" fontId="1" fillId="0" borderId="0" xfId="0" applyNumberFormat="1" applyFont="1" applyFill="1" applyBorder="1"/>
    <x:xf numFmtId="201" fontId="1" fillId="4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0BB"/>
        </x:patternFill>
      </x:fill>
    </x:dxf>
    <x:dxf>
      <x:font>
        <x:b/>
        <x:color rgb="FFB42318"/>
      </x:font>
      <x:fill>
        <x:patternFill patternType="solid">
          <x:bgColor rgb="FFFCE1E0"/>
        </x:patternFill>
      </x:fill>
    </x:dxf>
    <x:dxf>
      <x:font>
        <x:b/>
        <x:color rgb="FFB42318"/>
      </x:font>
      <x:fill>
        <x:patternFill patternType="solid">
          <x:bgColor rgb="FFFCE1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73c5d28154096" /><Relationship Type="http://schemas.openxmlformats.org/officeDocument/2006/relationships/theme" Target="/xl/theme/theme1.xml" Id="R7eeda8bd6ad94568" /><Relationship Type="http://schemas.openxmlformats.org/officeDocument/2006/relationships/sharedStrings" Target="/xl/sharedStrings.xml" Id="Rf410ff63ef9a41e5" /><Relationship Type="http://schemas.openxmlformats.org/officeDocument/2006/relationships/worksheet" Target="/xl/worksheets/sheet1.xml" Id="Rda43a50d0801465e" /><Relationship Type="http://schemas.openxmlformats.org/officeDocument/2006/relationships/worksheet" Target="/xl/worksheets/sheet2.xml" Id="R9c8a879a94cc4163" /><Relationship Type="http://schemas.openxmlformats.org/officeDocument/2006/relationships/worksheet" Target="/xl/worksheets/sheet3.xml" Id="R7bd7947ff03b4f83" /><Relationship Type="http://schemas.openxmlformats.org/officeDocument/2006/relationships/worksheet" Target="/xl/worksheets/sheet4.xml" Id="Rc2465485758d42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2b9d1ffd804c9c" /><Relationship Type="http://schemas.openxmlformats.org/officeDocument/2006/relationships/chart" Target="/xl/drawings/charts/chart2.xml" Id="R6ece1191d89e49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547D9B"/>
            </a:solidFill>
          </c:spPr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'Dashboard'!$B$16:$B$20</c:f>
              <c:numCache>
                <c:formatCode>"$"#,##0.00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'Dashboard'!$C$16:$C$20</c:f>
              <c:numCache>
                <c:formatCode>"$"#,##0.00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2b9d1ffd804c9c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ce1191d89e49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5:G10" headerRowCount="1" totalsRowCount="0" totalsRowShown="0">
  <x:autoFilter ref="A5:G10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04c4b046b944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417807045e94d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2" t="str">
        <x:v>Carbonara meal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46" customHeight="1">
      <x:c r="A4" s="7" t="str">
        <x:v>Setting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 t="str">
        <x:v>Base recipe servings</x:v>
      </x:c>
      <x:c r="B5" s="8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 t="str">
        <x:v>Desired servings</x:v>
      </x:c>
      <x:c r="B6" s="12" t="n">
        <x:v>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1" t="str">
        <x:v>Shopping budget (USD)</x:v>
      </x:c>
      <x:c r="B7" s="13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 t="str">
        <x:v>Yellow cells are editable meal controls.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 t="str">
        <x:v>Edit ingredient inputs in the Ingredients table.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budget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2" t="str">
        <x:v>Carbonara ingredients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 t="str">
        <x:v>Illustrative inputs supplied for this meal. All quantities are grams; yolks exclude shells and whites.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46" customHeight="1">
      <x:c r="A5" s="7" t="str">
        <x:v>Ingredient</x:v>
      </x:c>
      <x:c r="B5" s="7" t="str">
        <x:v>Base quantity for 2 servings (g)</x:v>
      </x:c>
      <x:c r="C5" s="7" t="str">
        <x:v>Stock available (g)</x:v>
      </x:c>
      <x:c r="D5" s="7" t="str">
        <x:v>Package size (g)</x:v>
      </x:c>
      <x:c r="E5" s="7" t="str">
        <x:v>Package price (USD)</x:v>
      </x:c>
      <x:c r="F5" s="7" t="str">
        <x:v>Required quantity (g)</x:v>
      </x:c>
      <x:c r="G5" s="7" t="str">
        <x:v>Used-ingredient cost (USD)</x:v>
      </x:c>
      <x:c r="H5" s="1"/>
      <x:c r="I5" s="1"/>
      <x:c r="J5" s="1"/>
      <x:c r="K5" s="1"/>
      <x:c r="L5" s="1"/>
      <x:c r="M5" s="1"/>
      <x:c r="N5" s="1"/>
    </x:row>
    <x:row r="6" ht="23" customHeight="1">
      <x:c r="A6" s="1" t="str">
        <x:v>Spaghetti (dry)</x:v>
      </x:c>
      <x:c r="B6" s="15" t="n">
        <x:v>200</x:v>
      </x:c>
      <x:c r="C6" s="15" t="n">
        <x:v>100</x:v>
      </x:c>
      <x:c r="D6" s="15" t="n">
        <x:v>500</x:v>
      </x:c>
      <x:c r="E6" s="17" t="n">
        <x:v>2.5</x:v>
      </x:c>
      <x:c r="F6" s="16" t="n">
        <x:f>B6*Setup!$B$6/Setup!$B$5</x:f>
        <x:v>600</x:v>
      </x:c>
      <x:c r="G6" s="9" t="n">
        <x:f>F6/D6*E6</x:f>
        <x:v>3</x:v>
      </x:c>
      <x:c r="H6" s="1"/>
      <x:c r="I6" s="1"/>
      <x:c r="J6" s="1"/>
      <x:c r="K6" s="1"/>
      <x:c r="L6" s="1"/>
      <x:c r="M6" s="1"/>
      <x:c r="N6" s="1"/>
    </x:row>
    <x:row r="7" ht="23" customHeight="1">
      <x:c r="A7" s="1" t="str">
        <x:v>Guanciale</x:v>
      </x:c>
      <x:c r="B7" s="15" t="n">
        <x:v>80</x:v>
      </x:c>
      <x:c r="C7" s="15" t="n">
        <x:v>20</x:v>
      </x:c>
      <x:c r="D7" s="15" t="n">
        <x:v>100</x:v>
      </x:c>
      <x:c r="E7" s="17" t="n">
        <x:v>4</x:v>
      </x:c>
      <x:c r="F7" s="16" t="n">
        <x:f>B7*Setup!$B$6/Setup!$B$5</x:f>
        <x:v>240</x:v>
      </x:c>
      <x:c r="G7" s="9" t="n">
        <x:f>F7/D7*E7</x:f>
        <x:v>9.6</x:v>
      </x:c>
      <x:c r="H7" s="1"/>
      <x:c r="I7" s="1"/>
      <x:c r="J7" s="1"/>
      <x:c r="K7" s="1"/>
      <x:c r="L7" s="1"/>
      <x:c r="M7" s="1"/>
      <x:c r="N7" s="1"/>
    </x:row>
    <x:row r="8" ht="23" customHeight="1">
      <x:c r="A8" s="1" t="str">
        <x:v>Egg yolks</x:v>
      </x:c>
      <x:c r="B8" s="15" t="n">
        <x:v>36</x:v>
      </x:c>
      <x:c r="C8" s="15" t="n">
        <x:v>0</x:v>
      </x:c>
      <x:c r="D8" s="15" t="n">
        <x:v>36</x:v>
      </x:c>
      <x:c r="E8" s="17" t="n">
        <x:v>0.54</x:v>
      </x:c>
      <x:c r="F8" s="16" t="n">
        <x:f>B8*Setup!$B$6/Setup!$B$5</x:f>
        <x:v>108</x:v>
      </x:c>
      <x:c r="G8" s="9" t="n">
        <x:f>F8/D8*E8</x:f>
        <x:v>1.62</x:v>
      </x:c>
      <x:c r="H8" s="1"/>
      <x:c r="I8" s="1"/>
      <x:c r="J8" s="1"/>
      <x:c r="K8" s="1"/>
      <x:c r="L8" s="1"/>
      <x:c r="M8" s="1"/>
      <x:c r="N8" s="1"/>
    </x:row>
    <x:row r="9" ht="23" customHeight="1">
      <x:c r="A9" s="1" t="str">
        <x:v>Pecorino Romano</x:v>
      </x:c>
      <x:c r="B9" s="15" t="n">
        <x:v>40</x:v>
      </x:c>
      <x:c r="C9" s="15" t="n">
        <x:v>10</x:v>
      </x:c>
      <x:c r="D9" s="15" t="n">
        <x:v>100</x:v>
      </x:c>
      <x:c r="E9" s="17" t="n">
        <x:v>3.5</x:v>
      </x:c>
      <x:c r="F9" s="16" t="n">
        <x:f>B9*Setup!$B$6/Setup!$B$5</x:f>
        <x:v>120</x:v>
      </x:c>
      <x:c r="G9" s="9" t="n">
        <x:f>F9/D9*E9</x:f>
        <x:v>4.2</x:v>
      </x:c>
      <x:c r="H9" s="1"/>
      <x:c r="I9" s="1"/>
      <x:c r="J9" s="1"/>
      <x:c r="K9" s="1"/>
      <x:c r="L9" s="1"/>
      <x:c r="M9" s="1"/>
      <x:c r="N9" s="1"/>
    </x:row>
    <x:row r="10" ht="23" customHeight="1">
      <x:c r="A10" s="1" t="str">
        <x:v>Black pepper</x:v>
      </x:c>
      <x:c r="B10" s="15" t="n">
        <x:v>1</x:v>
      </x:c>
      <x:c r="C10" s="15" t="n">
        <x:v>2</x:v>
      </x:c>
      <x:c r="D10" s="15" t="n">
        <x:v>50</x:v>
      </x:c>
      <x:c r="E10" s="17" t="n">
        <x:v>2.5</x:v>
      </x:c>
      <x:c r="F10" s="16" t="n">
        <x:f>B10*Setup!$B$6/Setup!$B$5</x:f>
        <x:v>3</x:v>
      </x:c>
      <x:c r="G10" s="9" t="n">
        <x:f>F10/D10*E10</x:f>
        <x:v>0.15</x:v>
      </x:c>
      <x:c r="H10" s="1"/>
      <x:c r="I10" s="1"/>
      <x:c r="J10" s="1"/>
      <x:c r="K10" s="1"/>
      <x:c r="L10" s="1"/>
      <x:c r="M10" s="1"/>
      <x:c r="N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</x:sheetData>
  <x:pageMargins left="0.7" right="0.7" top="0.75" bottom="0.75" header="0.3" footer="0.3"/>
  <x:tableParts count="1">
    <x:tablePart xmlns:r="http://schemas.openxmlformats.org/officeDocument/2006/relationships" r:id="R1804c4b046b944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2" t="str">
        <x:v>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 t="str">
        <x:v>Desired servings</x:v>
      </x:c>
      <x:c r="B3" s="1" t="n">
        <x:f>Setup!B6</x:f>
        <x:v>6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46" customHeight="1">
      <x:c r="A5" s="7" t="str">
        <x:v>Ingredient</x:v>
      </x:c>
      <x:c r="B5" s="7" t="str">
        <x:v>Required (g)</x:v>
      </x:c>
      <x:c r="C5" s="7" t="str">
        <x:v>Stock (g)</x:v>
      </x:c>
      <x:c r="D5" s="7" t="str">
        <x:v>Additional needed (g)</x:v>
      </x:c>
      <x:c r="E5" s="7" t="str">
        <x:v>Package size (g)</x:v>
      </x:c>
      <x:c r="F5" s="7" t="str">
        <x:v>Packages to buy</x:v>
      </x:c>
      <x:c r="G5" s="7" t="str">
        <x:v>Package price (USD)</x:v>
      </x:c>
      <x:c r="H5" s="7" t="str">
        <x:v>Purchase cost (USD)</x:v>
      </x:c>
      <x:c r="I5" s="7" t="str">
        <x:v>Stock after cooking (g)</x:v>
      </x:c>
      <x:c r="J5" s="7" t="str">
        <x:v>Used-ingredient cost (USD)</x:v>
      </x:c>
      <x:c r="K5" s="1"/>
      <x:c r="L5" s="1"/>
      <x:c r="M5" s="1"/>
      <x:c r="N5" s="1"/>
    </x:row>
    <x:row r="6" ht="23" customHeight="1">
      <x:c r="A6" s="1" t="str">
        <x:f>Ingredients!A6</x:f>
        <x:v>Spaghetti (dry)</x:v>
      </x:c>
      <x:c r="B6" s="16" t="n">
        <x:f>Ingredients!F6</x:f>
        <x:v>600</x:v>
      </x:c>
      <x:c r="C6" s="16" t="n">
        <x:f>Ingredients!C6</x:f>
        <x:v>100</x:v>
      </x:c>
      <x:c r="D6" s="16" t="n">
        <x:f>MAX(B6-C6,0)</x:f>
        <x:v>500</x:v>
      </x:c>
      <x:c r="E6" s="16" t="n">
        <x:f>Ingredients!D6</x:f>
        <x:v>500</x:v>
      </x:c>
      <x:c r="F6" s="8" t="n">
        <x:f>ROUNDUP(D6/E6,0)</x:f>
        <x:v>1</x:v>
      </x:c>
      <x:c r="G6" s="9" t="n">
        <x:f>Ingredients!E6</x:f>
        <x:v>2.5</x:v>
      </x:c>
      <x:c r="H6" s="9" t="n">
        <x:f>F6*G6</x:f>
        <x:v>2.5</x:v>
      </x:c>
      <x:c r="I6" s="16" t="n">
        <x:f>C6+F6*E6-B6</x:f>
        <x:v>0</x:v>
      </x:c>
      <x:c r="J6" s="9" t="n">
        <x:f>Ingredients!G6</x:f>
        <x:v>3</x:v>
      </x:c>
      <x:c r="K6" s="1"/>
      <x:c r="L6" s="1"/>
      <x:c r="M6" s="1"/>
      <x:c r="N6" s="1"/>
    </x:row>
    <x:row r="7" ht="23" customHeight="1">
      <x:c r="A7" s="1" t="str">
        <x:f>Ingredients!A7</x:f>
        <x:v>Guanciale</x:v>
      </x:c>
      <x:c r="B7" s="16" t="n">
        <x:f>Ingredients!F7</x:f>
        <x:v>240</x:v>
      </x:c>
      <x:c r="C7" s="16" t="n">
        <x:f>Ingredients!C7</x:f>
        <x:v>20</x:v>
      </x:c>
      <x:c r="D7" s="16" t="n">
        <x:f>MAX(B7-C7,0)</x:f>
        <x:v>220</x:v>
      </x:c>
      <x:c r="E7" s="16" t="n">
        <x:f>Ingredients!D7</x:f>
        <x:v>100</x:v>
      </x:c>
      <x:c r="F7" s="8" t="n">
        <x:f>ROUNDUP(D7/E7,0)</x:f>
        <x:v>3</x:v>
      </x:c>
      <x:c r="G7" s="9" t="n">
        <x:f>Ingredients!E7</x:f>
        <x:v>4</x:v>
      </x:c>
      <x:c r="H7" s="9" t="n">
        <x:f>F7*G7</x:f>
        <x:v>12</x:v>
      </x:c>
      <x:c r="I7" s="16" t="n">
        <x:f>C7+F7*E7-B7</x:f>
        <x:v>80</x:v>
      </x:c>
      <x:c r="J7" s="9" t="n">
        <x:f>Ingredients!G7</x:f>
        <x:v>9.6</x:v>
      </x:c>
      <x:c r="K7" s="1"/>
      <x:c r="L7" s="1"/>
      <x:c r="M7" s="1"/>
      <x:c r="N7" s="1"/>
    </x:row>
    <x:row r="8" ht="23" customHeight="1">
      <x:c r="A8" s="1" t="str">
        <x:f>Ingredients!A8</x:f>
        <x:v>Egg yolks</x:v>
      </x:c>
      <x:c r="B8" s="16" t="n">
        <x:f>Ingredients!F8</x:f>
        <x:v>108</x:v>
      </x:c>
      <x:c r="C8" s="16" t="n">
        <x:f>Ingredients!C8</x:f>
        <x:v>0</x:v>
      </x:c>
      <x:c r="D8" s="16" t="n">
        <x:f>MAX(B8-C8,0)</x:f>
        <x:v>108</x:v>
      </x:c>
      <x:c r="E8" s="16" t="n">
        <x:f>Ingredients!D8</x:f>
        <x:v>36</x:v>
      </x:c>
      <x:c r="F8" s="8" t="n">
        <x:f>ROUNDUP(D8/E8,0)</x:f>
        <x:v>3</x:v>
      </x:c>
      <x:c r="G8" s="9" t="n">
        <x:f>Ingredients!E8</x:f>
        <x:v>0.54</x:v>
      </x:c>
      <x:c r="H8" s="9" t="n">
        <x:f>F8*G8</x:f>
        <x:v>1.62</x:v>
      </x:c>
      <x:c r="I8" s="16" t="n">
        <x:f>C8+F8*E8-B8</x:f>
        <x:v>0</x:v>
      </x:c>
      <x:c r="J8" s="9" t="n">
        <x:f>Ingredients!G8</x:f>
        <x:v>1.62</x:v>
      </x:c>
      <x:c r="K8" s="1"/>
      <x:c r="L8" s="1"/>
      <x:c r="M8" s="1"/>
      <x:c r="N8" s="1"/>
    </x:row>
    <x:row r="9" ht="23" customHeight="1">
      <x:c r="A9" s="1" t="str">
        <x:f>Ingredients!A9</x:f>
        <x:v>Pecorino Romano</x:v>
      </x:c>
      <x:c r="B9" s="16" t="n">
        <x:f>Ingredients!F9</x:f>
        <x:v>120</x:v>
      </x:c>
      <x:c r="C9" s="16" t="n">
        <x:f>Ingredients!C9</x:f>
        <x:v>10</x:v>
      </x:c>
      <x:c r="D9" s="16" t="n">
        <x:f>MAX(B9-C9,0)</x:f>
        <x:v>110</x:v>
      </x:c>
      <x:c r="E9" s="16" t="n">
        <x:f>Ingredients!D9</x:f>
        <x:v>100</x:v>
      </x:c>
      <x:c r="F9" s="8" t="n">
        <x:f>ROUNDUP(D9/E9,0)</x:f>
        <x:v>2</x:v>
      </x:c>
      <x:c r="G9" s="9" t="n">
        <x:f>Ingredients!E9</x:f>
        <x:v>3.5</x:v>
      </x:c>
      <x:c r="H9" s="9" t="n">
        <x:f>F9*G9</x:f>
        <x:v>7</x:v>
      </x:c>
      <x:c r="I9" s="16" t="n">
        <x:f>C9+F9*E9-B9</x:f>
        <x:v>90</x:v>
      </x:c>
      <x:c r="J9" s="9" t="n">
        <x:f>Ingredients!G9</x:f>
        <x:v>4.2</x:v>
      </x:c>
      <x:c r="K9" s="1"/>
      <x:c r="L9" s="1"/>
      <x:c r="M9" s="1"/>
      <x:c r="N9" s="1"/>
    </x:row>
    <x:row r="10" ht="23" customHeight="1">
      <x:c r="A10" s="1" t="str">
        <x:f>Ingredients!A10</x:f>
        <x:v>Black pepper</x:v>
      </x:c>
      <x:c r="B10" s="16" t="n">
        <x:f>Ingredients!F10</x:f>
        <x:v>3</x:v>
      </x:c>
      <x:c r="C10" s="16" t="n">
        <x:f>Ingredients!C10</x:f>
        <x:v>2</x:v>
      </x:c>
      <x:c r="D10" s="16" t="n">
        <x:f>MAX(B10-C10,0)</x:f>
        <x:v>1</x:v>
      </x:c>
      <x:c r="E10" s="16" t="n">
        <x:f>Ingredients!D10</x:f>
        <x:v>50</x:v>
      </x:c>
      <x:c r="F10" s="8" t="n">
        <x:f>ROUNDUP(D10/E10,0)</x:f>
        <x:v>1</x:v>
      </x:c>
      <x:c r="G10" s="9" t="n">
        <x:f>Ingredients!E10</x:f>
        <x:v>2.5</x:v>
      </x:c>
      <x:c r="H10" s="9" t="n">
        <x:f>F10*G10</x:f>
        <x:v>2.5</x:v>
      </x:c>
      <x:c r="I10" s="16" t="n">
        <x:f>C10+F10*E10-B10</x:f>
        <x:v>49</x:v>
      </x:c>
      <x:c r="J10" s="9" t="n">
        <x:f>Ingredients!G10</x:f>
        <x:v>0.15</x:v>
      </x:c>
      <x:c r="K10" s="1"/>
      <x:c r="L10" s="1"/>
      <x:c r="M10" s="1"/>
      <x:c r="N10" s="1"/>
    </x:row>
    <x:row r="11" ht="23" customHeight="1">
      <x:c r="A11" s="1"/>
      <x:c r="B11" s="1"/>
      <x:c r="C11" s="1"/>
      <x:c r="D11" s="1"/>
      <x:c r="E11" s="1"/>
      <x:c r="F11" s="1"/>
      <x:c r="G11" s="9"/>
      <x:c r="H11" s="9"/>
      <x:c r="I11" s="1"/>
      <x:c r="J11" s="9"/>
      <x:c r="K11" s="1"/>
      <x:c r="L11" s="1"/>
      <x:c r="M11" s="1"/>
      <x:c r="N11" s="1"/>
    </x:row>
    <x:row r="12" ht="23" customHeight="1">
      <x:c r="A12" s="18" t="str">
        <x:v>Total (USD)</x:v>
      </x:c>
      <x:c r="B12" s="18"/>
      <x:c r="C12" s="18"/>
      <x:c r="D12" s="18"/>
      <x:c r="E12" s="18"/>
      <x:c r="F12" s="18"/>
      <x:c r="G12" s="19"/>
      <x:c r="H12" s="19" t="n">
        <x:f>SUM(H6:H10)</x:f>
        <x:v>25.62</x:v>
      </x:c>
      <x:c r="I12" s="18"/>
      <x:c r="J12" s="19" t="n">
        <x:f>SUM(J6:J10)</x:f>
        <x:v>18.569999999999997</x:v>
      </x:c>
      <x:c r="K12" s="1"/>
      <x:c r="L12" s="1"/>
      <x:c r="M12" s="1"/>
      <x:c r="N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</x:sheetData>
  <x:conditionalFormatting sqref="A6:J10">
    <x:cfRule type="expression" dxfId="0" priority="1">
      <x:formula>$F6&gt;0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63D52"/>
  </x:sheetPr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2" t="str">
        <x:v>Carbonara meal costs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46" customHeight="1">
      <x:c r="A4" s="7" t="str">
        <x:v>Metric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 t="str">
        <x:v>Desired servings</x:v>
      </x:c>
      <x:c r="B5" s="1" t="n">
        <x:f>Setup!B6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 t="str">
        <x:v>Used-ingredient cost</x:v>
      </x:c>
      <x:c r="B6" s="9" t="n">
        <x:f>ShoppingList!J12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1" t="str">
        <x:v>Used cost per serving</x:v>
      </x:c>
      <x:c r="B7" s="9" t="n">
        <x:f>B6/B5</x:f>
        <x:v>3.0949999999999993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3" customHeight="1">
      <x:c r="A8" s="1" t="str">
        <x:v>Total purchase cost</x:v>
      </x:c>
      <x:c r="B8" s="9" t="n">
        <x:f>ShoppingList!H12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 t="str">
        <x:v>Shopping budget</x:v>
      </x:c>
      <x:c r="B9" s="9" t="n">
        <x:f>Setup!B7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 t="str">
        <x:v>Budget remaining</x:v>
      </x:c>
      <x:c r="B10" s="9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 t="str">
        <x:v>Budget 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46" customHeight="1">
      <x:c r="A15" s="7" t="str">
        <x:v>Ingredient</x:v>
      </x:c>
      <x:c r="B15" s="7" t="str">
        <x:v>Purchase cost (USD)</x:v>
      </x:c>
      <x:c r="C15" s="7" t="str">
        <x:v>Used cost (USD)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 t="str">
        <x:f>ShoppingList!A6</x:f>
        <x:v>Spaghetti (dry)</x:v>
      </x:c>
      <x:c r="B16" s="9" t="n">
        <x:f>ShoppingList!H6</x:f>
        <x:v>2.5</x:v>
      </x:c>
      <x:c r="C16" s="9" t="n">
        <x:f>ShoppingList!J6</x:f>
        <x:v>3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 t="str">
        <x:f>ShoppingList!A7</x:f>
        <x:v>Guanciale</x:v>
      </x:c>
      <x:c r="B17" s="9" t="n">
        <x:f>ShoppingList!H7</x:f>
        <x:v>12</x:v>
      </x:c>
      <x:c r="C17" s="9" t="n">
        <x:f>ShoppingList!J7</x:f>
        <x:v>9.6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 t="str">
        <x:f>ShoppingList!A8</x:f>
        <x:v>Egg yolks</x:v>
      </x:c>
      <x:c r="B18" s="9" t="n">
        <x:f>ShoppingList!H8</x:f>
        <x:v>1.62</x:v>
      </x:c>
      <x:c r="C18" s="9" t="n">
        <x:f>ShoppingList!J8</x:f>
        <x:v>1.62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 t="str">
        <x:f>ShoppingList!A9</x:f>
        <x:v>Pecorino Romano</x:v>
      </x:c>
      <x:c r="B19" s="9" t="n">
        <x:f>ShoppingList!H9</x:f>
        <x:v>7</x:v>
      </x:c>
      <x:c r="C19" s="9" t="n">
        <x:f>ShoppingList!J9</x:f>
        <x:v>4.2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 t="str">
        <x:f>ShoppingList!A10</x:f>
        <x:v>Black pepper</x:v>
      </x:c>
      <x:c r="B20" s="9" t="n">
        <x:f>ShoppingList!H10</x:f>
        <x:v>2.5</x:v>
      </x:c>
      <x:c r="C20" s="9" t="n">
        <x:f>ShoppingList!J10</x:f>
        <x:v>0.15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</x:sheetData>
  <x:conditionalFormatting sqref="B8:B8">
    <x:cfRule type="expression" dxfId="1" priority="1">
      <x:formula>B8&gt;B9</x:formula>
    </x:cfRule>
  </x:conditionalFormatting>
  <x:conditionalFormatting sqref="B11:B11">
    <x:cfRule type="expression" dxfId="2" priority="2">
      <x:formula>B8&gt;B9</x:formula>
    </x:cfRule>
  </x:conditionalFormatting>
  <x:pageMargins left="0.7" right="0.7" top="0.75" bottom="0.75" header="0.3" footer="0.3"/>
  <x:drawing xmlns:r="http://schemas.openxmlformats.org/officeDocument/2006/relationships" r:id="Rc417807045e94d93"/>
</x:worksheet>
</file>