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0a390f6a1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554eed3e9e764010"/>
    <x:sheet xmlns:r="http://schemas.openxmlformats.org/officeDocument/2006/relationships" name="Ingredients" sheetId="2" r:id="R9633d9b47bdb4ada"/>
    <x:sheet xmlns:r="http://schemas.openxmlformats.org/officeDocument/2006/relationships" name="ShoppingList" sheetId="3" r:id="R398a6f05633d4ef4"/>
    <x:sheet xmlns:r="http://schemas.openxmlformats.org/officeDocument/2006/relationships" name="Dashboard" sheetId="4" r:id="R4768f4351c40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#,##0.00;[Red]($#,##0.00)"/>
    <x:numFmt numFmtId="202" formatCode="0.##"/>
  </x:numFmts>
  <x:fonts count="5">
    <x:font>
      <x:sz val="11"/>
      <x:name val="Carlito"/>
    </x:font>
    <x:font>
      <x:sz val="11"/>
      <x:color rgb="FF243447"/>
      <x:name val="Arial"/>
    </x:font>
    <x:font>
      <x:b/>
      <x:sz val="16"/>
      <x:color rgb="FF243447"/>
      <x:name val="Arial"/>
    </x:font>
    <x:font>
      <x:b/>
      <x:sz val="11"/>
      <x:color rgb="FFFFFFFF"/>
      <x:name val="Arial"/>
    </x:font>
    <x:font>
      <x:b/>
      <x:sz val="11"/>
      <x:color rgb="FF2434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FFF2CC"/>
      </x:patternFill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a121b361c47a5" /><Relationship Type="http://schemas.openxmlformats.org/officeDocument/2006/relationships/theme" Target="/xl/theme/theme1.xml" Id="R963f5ceeea94470d" /><Relationship Type="http://schemas.openxmlformats.org/officeDocument/2006/relationships/sharedStrings" Target="/xl/sharedStrings.xml" Id="R4f894857d6ae4ea1" /><Relationship Type="http://schemas.openxmlformats.org/officeDocument/2006/relationships/worksheet" Target="/xl/worksheets/sheet1.xml" Id="R554eed3e9e764010" /><Relationship Type="http://schemas.openxmlformats.org/officeDocument/2006/relationships/worksheet" Target="/xl/worksheets/sheet2.xml" Id="R9633d9b47bdb4ada" /><Relationship Type="http://schemas.openxmlformats.org/officeDocument/2006/relationships/worksheet" Target="/xl/worksheets/sheet3.xml" Id="R398a6f05633d4ef4" /><Relationship Type="http://schemas.openxmlformats.org/officeDocument/2006/relationships/worksheet" Target="/xl/worksheets/sheet4.xml" Id="R4768f4351c4046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a94ef5a435d4283" /><Relationship Type="http://schemas.openxmlformats.org/officeDocument/2006/relationships/chart" Target="/xl/drawings/charts/chart2.xml" Id="R7e0e3edea5ed4c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6386A7"/>
            </a:solidFill>
          </c:spPr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'Dashboard'!$B$14:$B$18</c:f>
              <c:numCache>
                <c:formatCode>$#,##0.00;[Red]($#,##0.00)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 cost (USD)</c:v>
          </c:tx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'Dashboard'!$C$14:$C$18</c:f>
              <c:numCache>
                <c:formatCode>$#,##0.00;[Red]($#,##0.00)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94ef5a435d4283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0e3edea5ed4cb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4:G9" headerRowCount="1" totalsRowCount="0" totalsRowShown="0">
  <x:autoFilter ref="A4:G9"/>
  <x:tableColumns count="7">
    <x:tableColumn id="1" name="Ingredient"/>
    <x:tableColumn id="2" name="Base quantity for 2 servings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61fbcf44f344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6593745ed474b6a" /></Relationships>
</file>

<file path=xl/worksheets/sheet1.xml><?xml version="1.0" encoding="utf-8"?>
<ns0:worksheet xmlns:ns0="http://schemas.openxmlformats.org/spreadsheetml/2006/main">
  <ns0:sheetPr>
    <ns0:tabColor rgb="FFB79C55"/>
  </ns0:sheetPr>
  <ns0:sheetViews>
    <ns0:sheetView showGridLines="0" workbookViewId="0"/>
  </ns0:sheetViews>
  <ns0:sheetFormatPr defaultRowHeight="15"/>
  <ns0:cols>
    <ns0:col min="1" max="1" width="30" hidden="0" customWidth="1"/>
    <ns0:col min="2" max="2" width="20" hidden="0" customWidth="1"/>
    <ns0:col min="3" max="3" width="65" hidden="0" customWidth="1"/>
  </ns0:cols>
  <ns0:sheetData>
    <ns0:row r="1" ht="25" customHeight="1">
      <ns0:c r="A1" s="2"/>
      <ns0:c r="B1" s="2"/>
      <ns0:c r="C1" s="2"/>
      <ns0:c r="D1" s="2"/>
    </ns0:row>
    <ns0:row r="2" ht="25" customHeight="1">
      <ns0:c r="A2" s="3" t="str">
        <ns0:v>Carbonara meal setup</ns0:v>
      </ns0:c>
      <ns0:c r="B2" s="2"/>
      <ns0:c r="C2" s="2"/>
      <ns0:c r="D2" s="2"/>
    </ns0:row>
    <ns0:row r="3" ht="25" customHeight="1">
      <ns0:c r="A3" s="2"/>
      <ns0:c r="B3" s="2"/>
      <ns0:c r="C3" s="2"/>
      <ns0:c r="D3" s="2"/>
    </ns0:row>
    <ns0:row r="4" ht="48" customHeight="1">
      <ns0:c r="A4" s="7" t="str">
        <ns0:v>Setting</ns0:v>
      </ns0:c>
      <ns0:c r="B4" s="7" t="str">
        <ns0:v>Value</ns0:v>
      </ns0:c>
      <ns0:c r="C4" s="7" t="str">
        <ns0:v>Guidance</ns0:v>
      </ns0:c>
      <ns0:c r="D4" s="2"/>
    </ns0:row>
    <ns0:row r="5" ht="25" customHeight="1">
      <ns0:c r="A5" s="2" t="str">
        <ns0:v>Base recipe servings</ns0:v>
      </ns0:c>
      <ns0:c r="B5" s="9" t="n">
        <ns0:v>2</ns0:v>
      </ns0:c>
      <ns0:c r="C5" s="2" t="str">
        <ns0:v>Recipe quantities are for 2 servings.</ns0:v>
      </ns0:c>
      <ns0:c r="D5" s="2"/>
    </ns0:row>
    <ns0:row r="6" ht="25" customHeight="1">
      <ns0:c r="A6" s="2" t="str">
        <ns0:v>Desired servings</ns0:v>
      </ns0:c>
      <ns0:c r="B6" s="10" t="n">
        <ns0:v>6</ns0:v>
      </ns0:c>
      <ns0:c r="C6" s="2" t="str">
        <ns0:v>Edit this cell: whole numbers from 1 to 20.</ns0:v>
      </ns0:c>
      <ns0:c r="D6" s="2"/>
    </ns0:row>
    <ns0:row r="7" ht="25" customHeight="1">
      <ns0:c r="A7" s="2" t="str">
        <ns0:v>Shopping budget (USD)</ns0:v>
      </ns0:c>
      <ns0:c r="B7" s="11" t="n">
        <ns0:v>20</ns0:v>
      </ns0:c>
      <ns0:c r="C7" s="2" t="str">
        <ns0:v>Edit this cell: nonnegative amounts.</ns0:v>
      </ns0:c>
      <ns0:c r="D7" s="2"/>
    </ns0:row>
    <ns0:row r="8" ht="25" customHeight="1">
      <ns0:c r="A8" s="2"/>
      <ns0:c r="B8" s="2"/>
      <ns0:c r="C8" s="2"/>
      <ns0:c r="D8" s="2"/>
    </ns0:row>
    <ns0:row r="9" ht="25" customHeight="1">
      <ns0:c r="A9" s="2"/>
      <ns0:c r="B9" s="2"/>
      <ns0:c r="C9" s="2"/>
      <ns0:c r="D9" s="2"/>
    </ns0:row>
    <ns0:row r="10" ht="25" customHeight="1">
      <ns0:c r="A10" s="2" t="str">
        <ns0:v>Yellow cells are editable inputs.</ns0:v>
      </ns0:c>
      <ns0:c r="B10" s="2"/>
      <ns0:c r="C10" s="2"/>
      <ns0:c r="D10" s="2"/>
    </ns0:row>
    <ns0:row r="11" ht="25" customHeight="1">
      <ns0:c r="A11" s="2" t="str">
        <ns0:v>Prices are fixed illustrative inputs supplied for this workbook.</ns0:v>
      </ns0:c>
      <ns0:c r="B11" s="2"/>
      <ns0:c r="C11" s="2"/>
      <ns0:c r="D11" s="2"/>
    </ns0:row>
    <ns0:row r="12" ht="25" customHeight="1">
      <ns0:c r="A12" s="2" t="str">
        <ns0:v>All quantities are grams. Egg yolks exclude shells and egg whites.</ns0:v>
      </ns0:c>
      <ns0:c r="B12" s="2"/>
      <ns0:c r="C12" s="2"/>
      <ns0:c r="D12" s="2"/>
    </ns0:row>
    <ns0:row r="13" ht="25" customHeight="1">
      <ns0:c r="A13" s="2"/>
      <ns0:c r="B13" s="2"/>
      <ns0:c r="C13" s="2"/>
      <ns0:c r="D13" s="2"/>
    </ns0:row>
  </ns0:sheetData>
  <ns0:dataValidations count="2">
    <ns0:dataValidation type="whole" operator="between" sqref="B6" showErrorMessage="1" errorStyle="stop" allowBlank="0" errorTitle="Invalid input" error="Enter a whole number from 1 to 20.">
      <ns0:formula1>1</ns0:formula1>
      <ns0:formula2>20</ns0:formula2>
    </ns0:dataValidation>
    <ns0:dataValidation type="decimal" operator="greaterThanOrEqual" sqref="B7" showErrorMessage="1" errorStyle="stop" allowBlank="0" errorTitle="Invalid input" error="Enter a nonnegative budget.">
      <ns0:formula1>0</ns0:formula1>
    </ns0:dataValidation>
  </ns0:dataValidations>
  <ns0:pageMargins left="0.7" right="0.7" top="0.75" bottom="0.75" header="0.3" footer="0.3"/>
</ns0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3" t="str">
        <x:v>Carbonara ingredients</x:v>
      </x:c>
      <x:c r="B2" s="2"/>
      <x:c r="C2" s="2"/>
      <x:c r="D2" s="2"/>
      <x:c r="E2" s="2"/>
      <x:c r="F2" s="2"/>
      <x:c r="G2" s="2"/>
    </x:row>
    <x:row r="3" ht="25" customHeight="1">
      <x:c r="A3" s="2"/>
      <x:c r="B3" s="2"/>
      <x:c r="C3" s="2"/>
      <x:c r="D3" s="2"/>
      <x:c r="E3" s="2"/>
      <x:c r="F3" s="2"/>
      <x:c r="G3" s="2"/>
    </x:row>
    <x:row r="4" ht="48" customHeight="1">
      <x:c r="A4" s="7" t="str">
        <x:v>Ingredient</x:v>
      </x:c>
      <x:c r="B4" s="7" t="str">
        <x:v>Base quantity for 2 servings (g)</x:v>
      </x:c>
      <x:c r="C4" s="7" t="str">
        <x:v>Stock available (g)</x:v>
      </x:c>
      <x:c r="D4" s="7" t="str">
        <x:v>Package size (g)</x:v>
      </x:c>
      <x:c r="E4" s="7" t="str">
        <x:v>Package price (USD)</x:v>
      </x:c>
      <x:c r="F4" s="7" t="str">
        <x:v>Required quantity (g)</x:v>
      </x:c>
      <x:c r="G4" s="7" t="str">
        <x:v>Used-ingredient cost (USD)</x:v>
      </x:c>
    </x:row>
    <x:row r="5" ht="25" customHeight="1">
      <x:c r="A5" s="2" t="str">
        <x:v>Spaghetti (dry)</x:v>
      </x:c>
      <x:c r="B5" s="12" t="n">
        <x:v>200</x:v>
      </x:c>
      <x:c r="C5" s="12" t="n">
        <x:v>100</x:v>
      </x:c>
      <x:c r="D5" s="12" t="n">
        <x:v>500</x:v>
      </x:c>
      <x:c r="E5" s="11" t="n">
        <x:v>2.5</x:v>
      </x:c>
      <x:c r="F5" s="13" t="n">
        <x:f>B5*Setup!$B$6/Setup!$B$5</x:f>
        <x:v>600</x:v>
      </x:c>
      <x:c r="G5" s="14" t="n">
        <x:f>F5/D5*E5</x:f>
        <x:v>3</x:v>
      </x:c>
    </x:row>
    <x:row r="6" ht="25" customHeight="1">
      <x:c r="A6" s="2" t="str">
        <x:v>Guanciale</x:v>
      </x:c>
      <x:c r="B6" s="12" t="n">
        <x:v>80</x:v>
      </x:c>
      <x:c r="C6" s="12" t="n">
        <x:v>20</x:v>
      </x:c>
      <x:c r="D6" s="12" t="n">
        <x:v>100</x:v>
      </x:c>
      <x:c r="E6" s="11" t="n">
        <x:v>4</x:v>
      </x:c>
      <x:c r="F6" s="13" t="n">
        <x:f>B6*Setup!$B$6/Setup!$B$5</x:f>
        <x:v>240</x:v>
      </x:c>
      <x:c r="G6" s="14" t="n">
        <x:f>F6/D6*E6</x:f>
        <x:v>9.6</x:v>
      </x:c>
    </x:row>
    <x:row r="7" ht="25" customHeight="1">
      <x:c r="A7" s="2" t="str">
        <x:v>Egg yolks</x:v>
      </x:c>
      <x:c r="B7" s="12" t="n">
        <x:v>36</x:v>
      </x:c>
      <x:c r="C7" s="12" t="n">
        <x:v>0</x:v>
      </x:c>
      <x:c r="D7" s="12" t="n">
        <x:v>36</x:v>
      </x:c>
      <x:c r="E7" s="11" t="n">
        <x:v>0.54</x:v>
      </x:c>
      <x:c r="F7" s="13" t="n">
        <x:f>B7*Setup!$B$6/Setup!$B$5</x:f>
        <x:v>108</x:v>
      </x:c>
      <x:c r="G7" s="14" t="n">
        <x:f>F7/D7*E7</x:f>
        <x:v>1.62</x:v>
      </x:c>
    </x:row>
    <x:row r="8" ht="25" customHeight="1">
      <x:c r="A8" s="2" t="str">
        <x:v>Pecorino Romano</x:v>
      </x:c>
      <x:c r="B8" s="12" t="n">
        <x:v>40</x:v>
      </x:c>
      <x:c r="C8" s="12" t="n">
        <x:v>10</x:v>
      </x:c>
      <x:c r="D8" s="12" t="n">
        <x:v>100</x:v>
      </x:c>
      <x:c r="E8" s="11" t="n">
        <x:v>3.5</x:v>
      </x:c>
      <x:c r="F8" s="13" t="n">
        <x:f>B8*Setup!$B$6/Setup!$B$5</x:f>
        <x:v>120</x:v>
      </x:c>
      <x:c r="G8" s="14" t="n">
        <x:f>F8/D8*E8</x:f>
        <x:v>4.2</x:v>
      </x:c>
    </x:row>
    <x:row r="9" ht="25" customHeight="1">
      <x:c r="A9" s="2" t="str">
        <x:v>Black pepper</x:v>
      </x:c>
      <x:c r="B9" s="12" t="n">
        <x:v>1</x:v>
      </x:c>
      <x:c r="C9" s="12" t="n">
        <x:v>2</x:v>
      </x:c>
      <x:c r="D9" s="12" t="n">
        <x:v>50</x:v>
      </x:c>
      <x:c r="E9" s="11" t="n">
        <x:v>2.5</x:v>
      </x:c>
      <x:c r="F9" s="13" t="n">
        <x:f>B9*Setup!$B$6/Setup!$B$5</x:f>
        <x:v>3</x:v>
      </x:c>
      <x:c r="G9" s="14" t="n">
        <x:f>F9/D9*E9</x:f>
        <x:v>0.15</x:v>
      </x:c>
    </x:row>
    <x:row r="10" ht="25" customHeight="1">
      <x:c r="A10" s="2"/>
      <x:c r="B10" s="2"/>
      <x:c r="C10" s="2"/>
      <x:c r="D10" s="2"/>
      <x:c r="E10" s="2"/>
      <x:c r="F10" s="2"/>
      <x:c r="G10" s="2"/>
    </x:row>
    <x:row r="11" ht="25" customHeight="1">
      <x:c r="A11" s="2" t="str">
        <x:v>Used cost values the entire recipe, including ingredients already in stock.</x:v>
      </x:c>
      <x:c r="B11" s="2"/>
      <x:c r="C11" s="2"/>
      <x:c r="D11" s="2"/>
      <x:c r="E11" s="2"/>
      <x:c r="F11" s="2"/>
      <x:c r="G11" s="2"/>
    </x:row>
    <x:row r="12" ht="25" customHeight="1">
      <x:c r="A12" s="2"/>
      <x:c r="B12" s="2"/>
      <x:c r="C12" s="2"/>
      <x:c r="D12" s="2"/>
      <x:c r="E12" s="2"/>
      <x:c r="F12" s="2"/>
      <x:c r="G12" s="2"/>
    </x:row>
  </x:sheetData>
  <x:pageMargins left="0.7" right="0.7" top="0.75" bottom="0.75" header="0.3" footer="0.3"/>
  <x:tableParts count="1">
    <x:tablePart xmlns:r="http://schemas.openxmlformats.org/officeDocument/2006/relationships" r:id="Rd461fbcf44f344a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Carbonara shopping list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 t="str">
        <x:v>Desired servings</x:v>
      </x:c>
      <x:c r="B3" s="2" t="n">
        <x:f>Setup!B6</x:f>
        <x:v>6</x:v>
      </x:c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8" customHeight="1">
      <x:c r="A5" s="7" t="str">
        <x:v>Ingredient</x:v>
      </x:c>
      <x:c r="B5" s="7" t="str">
        <x:v>Required (g)</x:v>
      </x:c>
      <x:c r="C5" s="7" t="str">
        <x:v>Stock (g)</x:v>
      </x:c>
      <x:c r="D5" s="7" t="str">
        <x:v>Additional needed (g)</x:v>
      </x:c>
      <x:c r="E5" s="7" t="str">
        <x:v>Package size (g)</x:v>
      </x:c>
      <x:c r="F5" s="7" t="str">
        <x:v>Package price (USD)</x:v>
      </x:c>
      <x:c r="G5" s="7" t="str">
        <x:v>Packages to buy</x:v>
      </x:c>
      <x:c r="H5" s="7" t="str">
        <x:v>Purchase cost (USD)</x:v>
      </x:c>
      <x:c r="I5" s="7" t="str">
        <x:v>Stock after cooking (g)</x:v>
      </x:c>
      <x:c r="J5" s="7" t="str">
        <x:v>Used cost (USD)</x:v>
      </x:c>
    </x:row>
    <x:row r="6" ht="25" customHeight="1">
      <x:c r="A6" s="2" t="str">
        <x:f>Ingredients!A5</x:f>
        <x:v>Spaghetti (dry)</x:v>
      </x:c>
      <x:c r="B6" s="13" t="n">
        <x:f>Ingredients!F5</x:f>
        <x:v>600</x:v>
      </x:c>
      <x:c r="C6" s="13" t="n">
        <x:f>Ingredients!C5</x:f>
        <x:v>100</x:v>
      </x:c>
      <x:c r="D6" s="13" t="n">
        <x:f>MAX(B6-C6,0)</x:f>
        <x:v>500</x:v>
      </x:c>
      <x:c r="E6" s="13" t="n">
        <x:f>Ingredients!D5</x:f>
        <x:v>500</x:v>
      </x:c>
      <x:c r="F6" s="14" t="n">
        <x:f>Ingredients!E5</x:f>
        <x:v>2.5</x:v>
      </x:c>
      <x:c r="G6" s="9" t="n">
        <x:f>ROUNDUP(D6/E6,0)</x:f>
        <x:v>1</x:v>
      </x:c>
      <x:c r="H6" s="14" t="n">
        <x:f>G6*F6</x:f>
        <x:v>2.5</x:v>
      </x:c>
      <x:c r="I6" s="13" t="n">
        <x:f>C6+G6*E6-B6</x:f>
        <x:v>0</x:v>
      </x:c>
      <x:c r="J6" s="14" t="n">
        <x:f>Ingredients!G5</x:f>
        <x:v>3</x:v>
      </x:c>
    </x:row>
    <x:row r="7" ht="25" customHeight="1">
      <x:c r="A7" s="2" t="str">
        <x:f>Ingredients!A6</x:f>
        <x:v>Guanciale</x:v>
      </x:c>
      <x:c r="B7" s="13" t="n">
        <x:f>Ingredients!F6</x:f>
        <x:v>240</x:v>
      </x:c>
      <x:c r="C7" s="13" t="n">
        <x:f>Ingredients!C6</x:f>
        <x:v>20</x:v>
      </x:c>
      <x:c r="D7" s="13" t="n">
        <x:f>MAX(B7-C7,0)</x:f>
        <x:v>220</x:v>
      </x:c>
      <x:c r="E7" s="13" t="n">
        <x:f>Ingredients!D6</x:f>
        <x:v>100</x:v>
      </x:c>
      <x:c r="F7" s="14" t="n">
        <x:f>Ingredients!E6</x:f>
        <x:v>4</x:v>
      </x:c>
      <x:c r="G7" s="9" t="n">
        <x:f>ROUNDUP(D7/E7,0)</x:f>
        <x:v>3</x:v>
      </x:c>
      <x:c r="H7" s="14" t="n">
        <x:f>G7*F7</x:f>
        <x:v>12</x:v>
      </x:c>
      <x:c r="I7" s="13" t="n">
        <x:f>C7+G7*E7-B7</x:f>
        <x:v>80</x:v>
      </x:c>
      <x:c r="J7" s="14" t="n">
        <x:f>Ingredients!G6</x:f>
        <x:v>9.6</x:v>
      </x:c>
    </x:row>
    <x:row r="8" ht="25" customHeight="1">
      <x:c r="A8" s="2" t="str">
        <x:f>Ingredients!A7</x:f>
        <x:v>Egg yolks</x:v>
      </x:c>
      <x:c r="B8" s="13" t="n">
        <x:f>Ingredients!F7</x:f>
        <x:v>108</x:v>
      </x:c>
      <x:c r="C8" s="13" t="n">
        <x:f>Ingredients!C7</x:f>
        <x:v>0</x:v>
      </x:c>
      <x:c r="D8" s="13" t="n">
        <x:f>MAX(B8-C8,0)</x:f>
        <x:v>108</x:v>
      </x:c>
      <x:c r="E8" s="13" t="n">
        <x:f>Ingredients!D7</x:f>
        <x:v>36</x:v>
      </x:c>
      <x:c r="F8" s="14" t="n">
        <x:f>Ingredients!E7</x:f>
        <x:v>0.54</x:v>
      </x:c>
      <x:c r="G8" s="9" t="n">
        <x:f>ROUNDUP(D8/E8,0)</x:f>
        <x:v>3</x:v>
      </x:c>
      <x:c r="H8" s="14" t="n">
        <x:f>G8*F8</x:f>
        <x:v>1.62</x:v>
      </x:c>
      <x:c r="I8" s="13" t="n">
        <x:f>C8+G8*E8-B8</x:f>
        <x:v>0</x:v>
      </x:c>
      <x:c r="J8" s="14" t="n">
        <x:f>Ingredients!G7</x:f>
        <x:v>1.62</x:v>
      </x:c>
    </x:row>
    <x:row r="9" ht="25" customHeight="1">
      <x:c r="A9" s="2" t="str">
        <x:f>Ingredients!A8</x:f>
        <x:v>Pecorino Romano</x:v>
      </x:c>
      <x:c r="B9" s="13" t="n">
        <x:f>Ingredients!F8</x:f>
        <x:v>120</x:v>
      </x:c>
      <x:c r="C9" s="13" t="n">
        <x:f>Ingredients!C8</x:f>
        <x:v>10</x:v>
      </x:c>
      <x:c r="D9" s="13" t="n">
        <x:f>MAX(B9-C9,0)</x:f>
        <x:v>110</x:v>
      </x:c>
      <x:c r="E9" s="13" t="n">
        <x:f>Ingredients!D8</x:f>
        <x:v>100</x:v>
      </x:c>
      <x:c r="F9" s="14" t="n">
        <x:f>Ingredients!E8</x:f>
        <x:v>3.5</x:v>
      </x:c>
      <x:c r="G9" s="9" t="n">
        <x:f>ROUNDUP(D9/E9,0)</x:f>
        <x:v>2</x:v>
      </x:c>
      <x:c r="H9" s="14" t="n">
        <x:f>G9*F9</x:f>
        <x:v>7</x:v>
      </x:c>
      <x:c r="I9" s="13" t="n">
        <x:f>C9+G9*E9-B9</x:f>
        <x:v>90</x:v>
      </x:c>
      <x:c r="J9" s="14" t="n">
        <x:f>Ingredients!G8</x:f>
        <x:v>4.2</x:v>
      </x:c>
    </x:row>
    <x:row r="10" ht="25" customHeight="1">
      <x:c r="A10" s="2" t="str">
        <x:f>Ingredients!A9</x:f>
        <x:v>Black pepper</x:v>
      </x:c>
      <x:c r="B10" s="13" t="n">
        <x:f>Ingredients!F9</x:f>
        <x:v>3</x:v>
      </x:c>
      <x:c r="C10" s="13" t="n">
        <x:f>Ingredients!C9</x:f>
        <x:v>2</x:v>
      </x:c>
      <x:c r="D10" s="13" t="n">
        <x:f>MAX(B10-C10,0)</x:f>
        <x:v>1</x:v>
      </x:c>
      <x:c r="E10" s="13" t="n">
        <x:f>Ingredients!D9</x:f>
        <x:v>50</x:v>
      </x:c>
      <x:c r="F10" s="14" t="n">
        <x:f>Ingredients!E9</x:f>
        <x:v>2.5</x:v>
      </x:c>
      <x:c r="G10" s="9" t="n">
        <x:f>ROUNDUP(D10/E10,0)</x:f>
        <x:v>1</x:v>
      </x:c>
      <x:c r="H10" s="14" t="n">
        <x:f>G10*F10</x:f>
        <x:v>2.5</x:v>
      </x:c>
      <x:c r="I10" s="13" t="n">
        <x:f>C10+G10*E10-B10</x:f>
        <x:v>49</x:v>
      </x:c>
      <x:c r="J10" s="14" t="n">
        <x:f>Ingredients!G9</x:f>
        <x:v>0.15</x:v>
      </x:c>
    </x:row>
    <x:row r="11" ht="25" customHeight="1">
      <x:c r="A11" s="2"/>
      <x:c r="B11" s="2"/>
      <x:c r="C11" s="2"/>
      <x:c r="D11" s="2"/>
      <x:c r="E11" s="2"/>
      <x:c r="F11" s="2"/>
      <x:c r="G11" s="2"/>
      <x:c r="H11" s="14"/>
      <x:c r="I11" s="2"/>
      <x:c r="J11" s="14"/>
    </x:row>
    <x:row r="12" ht="25" customHeight="1">
      <x:c r="A12" s="16" t="str">
        <x:v>Total (USD)</x:v>
      </x:c>
      <x:c r="B12" s="16"/>
      <x:c r="C12" s="16"/>
      <x:c r="D12" s="16"/>
      <x:c r="E12" s="16"/>
      <x:c r="F12" s="16"/>
      <x:c r="G12" s="16"/>
      <x:c r="H12" s="17" t="n">
        <x:f>SUM(H6:H10)</x:f>
        <x:v>25.62</x:v>
      </x:c>
      <x:c r="I12" s="16"/>
      <x:c r="J12" s="17" t="n">
        <x:f>SUM(J6:J10)</x:f>
        <x:v>18.569999999999997</x:v>
      </x:c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</x:sheetData>
  <x:conditionalFormatting sqref="A6:J10">
    <x:cfRule type="expression" dxfId="0" priority="1">
      <x:formula>$G6&gt;0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4495E"/>
  </x:sheetPr>
  <x:sheetViews>
    <x:sheetView showGridLines="0" workbookViewId="0"/>
  </x:sheetViews>
  <x:sheetFormatPr defaultRowHeight="15"/>
  <x:cols>
    <x:col min="1" max="1" width="33" hidden="0" customWidth="1"/>
    <x:col min="2" max="2" width="22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Carbonara cost dashboard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 t="str">
        <x:v>Desired servings</x:v>
      </x:c>
      <x:c r="B4" s="16" t="n">
        <x:f>Setup!B6</x:f>
        <x:v>6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Total used-ingredient cost</x:v>
      </x:c>
      <x:c r="B5" s="17" t="n">
        <x:f>ShoppingList!J12</x:f>
        <x:v>18.569999999999997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5" customHeight="1">
      <x:c r="A6" s="2" t="str">
        <x:v>Used cost per serving</x:v>
      </x:c>
      <x:c r="B6" s="17" t="n">
        <x:f>B5/B4</x:f>
        <x:v>3.0949999999999993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5" customHeight="1">
      <x:c r="A7" s="2" t="str">
        <x:v>Total purchase cost</x:v>
      </x:c>
      <x:c r="B7" s="17" t="n">
        <x:f>ShoppingList!H12</x:f>
        <x:v>25.62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5" customHeight="1">
      <x:c r="A8" s="2" t="str">
        <x:v>Shopping budget</x:v>
      </x:c>
      <x:c r="B8" s="17" t="n">
        <x:f>Setup!B7</x:f>
        <x:v>20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5" customHeight="1">
      <x:c r="A9" s="2" t="str">
        <x:v>Budget remaining</x:v>
      </x:c>
      <x:c r="B9" s="17" t="n">
        <x:f>B8-B7</x:f>
        <x:v>-5.620000000000001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5" customHeight="1">
      <x:c r="A10" s="2" t="str">
        <x:v>Budget status</x:v>
      </x:c>
      <x:c r="B10" s="16" t="str">
        <x:f>IF(B7&lt;=B8,"Within budget","Over budget")</x:f>
        <x:v>Over budget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48" customHeight="1">
      <x:c r="A13" s="7" t="str">
        <x:v>Ingredient</x:v>
      </x:c>
      <x:c r="B13" s="7" t="str">
        <x:v>Purchase cost (USD)</x:v>
      </x:c>
      <x:c r="C13" s="7" t="str">
        <x:v>Used cost (USD)</x:v>
      </x:c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5" customHeight="1">
      <x:c r="A14" s="2" t="str">
        <x:f>ShoppingList!A6</x:f>
        <x:v>Spaghetti (dry)</x:v>
      </x:c>
      <x:c r="B14" s="14" t="n">
        <x:f>ShoppingList!H6</x:f>
        <x:v>2.5</x:v>
      </x:c>
      <x:c r="C14" s="14" t="n">
        <x:f>ShoppingList!J6</x:f>
        <x:v>3</x:v>
      </x:c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5" customHeight="1">
      <x:c r="A15" s="2" t="str">
        <x:f>ShoppingList!A7</x:f>
        <x:v>Guanciale</x:v>
      </x:c>
      <x:c r="B15" s="14" t="n">
        <x:f>ShoppingList!H7</x:f>
        <x:v>12</x:v>
      </x:c>
      <x:c r="C15" s="14" t="n">
        <x:f>ShoppingList!J7</x:f>
        <x:v>9.6</x:v>
      </x:c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5" customHeight="1">
      <x:c r="A16" s="2" t="str">
        <x:f>ShoppingList!A8</x:f>
        <x:v>Egg yolks</x:v>
      </x:c>
      <x:c r="B16" s="14" t="n">
        <x:f>ShoppingList!H8</x:f>
        <x:v>1.62</x:v>
      </x:c>
      <x:c r="C16" s="14" t="n">
        <x:f>ShoppingList!J8</x:f>
        <x:v>1.62</x:v>
      </x:c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5" customHeight="1">
      <x:c r="A17" s="2" t="str">
        <x:f>ShoppingList!A9</x:f>
        <x:v>Pecorino Romano</x:v>
      </x:c>
      <x:c r="B17" s="14" t="n">
        <x:f>ShoppingList!H9</x:f>
        <x:v>7</x:v>
      </x:c>
      <x:c r="C17" s="14" t="n">
        <x:f>ShoppingList!J9</x:f>
        <x:v>4.2</x:v>
      </x:c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5" customHeight="1">
      <x:c r="A18" s="2" t="str">
        <x:f>ShoppingList!A10</x:f>
        <x:v>Black pepper</x:v>
      </x:c>
      <x:c r="B18" s="14" t="n">
        <x:f>ShoppingList!H10</x:f>
        <x:v>2.5</x:v>
      </x:c>
      <x:c r="C18" s="14" t="n">
        <x:f>ShoppingList!J10</x:f>
        <x:v>0.15</x:v>
      </x:c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</x:sheetData>
  <x:conditionalFormatting sqref="B7:B7">
    <x:cfRule type="expression" dxfId="1" priority="1">
      <x:formula>B7&gt;B8</x:formula>
    </x:cfRule>
  </x:conditionalFormatting>
  <x:conditionalFormatting sqref="B10:B10">
    <x:cfRule type="expression" dxfId="2" priority="2">
      <x:formula>B7&gt;B8</x:formula>
    </x:cfRule>
  </x:conditionalFormatting>
  <x:conditionalFormatting sqref="A14:C18">
    <x:cfRule type="expression" dxfId="3" priority="3">
      <x:formula>$B14&gt;0</x:formula>
    </x:cfRule>
  </x:conditionalFormatting>
  <x:pageMargins left="0.7" right="0.7" top="0.75" bottom="0.75" header="0.3" footer="0.3"/>
  <x:drawing xmlns:r="http://schemas.openxmlformats.org/officeDocument/2006/relationships" r:id="Rd6593745ed474b6a"/>
</x:worksheet>
</file>