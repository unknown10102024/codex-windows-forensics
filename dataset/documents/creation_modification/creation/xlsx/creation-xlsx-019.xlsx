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25df643e7d4c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86140140ba084af5"/>
    <x:sheet xmlns:r="http://schemas.openxmlformats.org/officeDocument/2006/relationships" name="Ingredients" sheetId="2" r:id="R2d73e80a84d548a4"/>
    <x:sheet xmlns:r="http://schemas.openxmlformats.org/officeDocument/2006/relationships" name="ShoppingList" sheetId="3" r:id="Reb9c9d9d03784dfe"/>
    <x:sheet xmlns:r="http://schemas.openxmlformats.org/officeDocument/2006/relationships" name="Dashboard" sheetId="4" r:id="R66d10c91b132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$&quot;#,##0.00"/>
    <x:numFmt numFmtId="201" formatCode="0.0"/>
    <x:numFmt numFmtId="202" formatCode="0"/>
    <x:numFmt numFmtId="203" formatCode="&quot;$&quot;0.000"/>
  </x:numFmts>
  <x:fonts count="5">
    <x:font>
      <x:sz val="11"/>
      <x:name val="Carlito"/>
    </x:font>
    <x:font>
      <x:sz val="11"/>
      <x:color rgb="FF243746"/>
      <x:name val="Arial"/>
    </x:font>
    <x:font>
      <x:b/>
      <x:sz val="16"/>
      <x:color rgb="FF263C50"/>
      <x:name val="Arial"/>
    </x:font>
    <x:font>
      <x:b/>
      <x:sz val="11"/>
      <x:color rgb="FFFFFFFF"/>
      <x:name val="Arial"/>
    </x:font>
    <x:font>
      <x:b/>
      <x:sz val="11"/>
      <x:color rgb="FF2437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0BC"/>
      </x:patternFill>
    </x:fill>
    <x:fill>
      <x:patternFill patternType="solid">
        <x:fgColor rgb="FFFFF5D7"/>
      </x:patternFill>
    </x:fill>
    <x:fill>
      <x:patternFill patternType="solid">
        <x:fgColor rgb="FF263C50"/>
      </x:patternFill>
    </x:fill>
  </x:fills>
  <x:borders count="2">
    <x:border/>
    <x:border>
      <x:top style="thin">
        <x:color rgb="FF8799A6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3" fontId="1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FF0BC"/>
        </x:patternFill>
      </x:fill>
    </x:dxf>
    <x:dxf>
      <x:font>
        <x:b/>
        <x:color rgb="FFA32424"/>
      </x:font>
      <x:fill>
        <x:patternFill patternType="solid">
          <x:bgColor rgb="FFFCE1DD"/>
        </x:patternFill>
      </x:fill>
    </x:dxf>
    <x:dxf>
      <x:font>
        <x:b/>
        <x:color rgb="FFA32424"/>
      </x:font>
      <x:fill>
        <x:patternFill patternType="solid">
          <x:bgColor rgb="FFFCE1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cb9b743f144da" /><Relationship Type="http://schemas.openxmlformats.org/officeDocument/2006/relationships/theme" Target="/xl/theme/theme1.xml" Id="Rae3423b7d2e248ed" /><Relationship Type="http://schemas.openxmlformats.org/officeDocument/2006/relationships/sharedStrings" Target="/xl/sharedStrings.xml" Id="Ra90a4615da4b4bfd" /><Relationship Type="http://schemas.openxmlformats.org/officeDocument/2006/relationships/worksheet" Target="/xl/worksheets/sheet1.xml" Id="R86140140ba084af5" /><Relationship Type="http://schemas.openxmlformats.org/officeDocument/2006/relationships/worksheet" Target="/xl/worksheets/sheet2.xml" Id="R2d73e80a84d548a4" /><Relationship Type="http://schemas.openxmlformats.org/officeDocument/2006/relationships/worksheet" Target="/xl/worksheets/sheet3.xml" Id="Reb9c9d9d03784dfe" /><Relationship Type="http://schemas.openxmlformats.org/officeDocument/2006/relationships/worksheet" Target="/xl/worksheets/sheet4.xml" Id="R66d10c91b13245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bed98c2846493a" /><Relationship Type="http://schemas.openxmlformats.org/officeDocument/2006/relationships/chart" Target="/xl/drawings/charts/chart2.xml" Id="Re63f06e31eaa4d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557D96"/>
            </a:solidFill>
          </c:spPr>
          <c:cat>
            <c:strRef>
              <c:f>'ShoppingList'!$A$7:$A$11</c:f>
              <c:strCache>
                <c:ptCount val="0"/>
              </c:strCache>
            </c:strRef>
          </c:cat>
          <c:val>
            <c:numRef>
              <c:f>'ShoppingList'!$H$7:$H$11</c:f>
              <c:numCache>
                <c:formatCode>"$"#,##0.00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Used-ingredient cost (USD)</c:v>
          </c:tx>
          <c:cat>
            <c:strRef>
              <c:f>'Ingredients'!$A$7:$A$11</c:f>
              <c:strCache>
                <c:ptCount val="0"/>
              </c:strCache>
            </c:strRef>
          </c:cat>
          <c:val>
            <c:numRef>
              <c:f>'Ingredients'!$G$7:$G$11</c:f>
              <c:numCache>
                <c:formatCode>"$"#,##0.00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bed98c2846493a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11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3f06e31eaa4d3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cipeIngredients" displayName="RecipeIngredients" ref="A6:G11" headerRowCount="1" totalsRowCount="0" totalsRowShown="0">
  <x:autoFilter ref="A6:G11"/>
  <x:tableColumns count="7">
    <x:tableColumn id="1" name="Ingredient"/>
    <x:tableColumn id="2" name="Base quantity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7a138d63094e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fca4d60e4e249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9" customHeight="1">
      <x:c r="A2" s="2" t="str">
        <x:v>Carbonara meal setup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Base recipe servings</x:v>
      </x:c>
      <x:c r="B5" s="1" t="n">
        <x:v>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Desired servings</x:v>
      </x:c>
      <x:c r="B6" s="3" t="n">
        <x:v>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Shopping budget (USD)</x:v>
      </x:c>
      <x:c r="B7" s="4" t="n">
        <x:v>20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Amber cells are editable inputs.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 t="str">
        <x:v>Change desired servings and budget here; edit recipe inputs on Ingredients.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</x:sheetData>
  <x:dataValidations count="2">
    <x:dataValidation type="whole" errorStyle="stop" operator="between" showErrorMessage="1" errorTitle="Invalid servings" error="Enter a whole number from 1 through 20." sqref="B6">
      <x:formula1>1</x:formula1>
      <x:formula2>20</x:formula2>
    </x:dataValidation>
    <x:dataValidation type="decimal" errorStyle="stop" operator="greaterThanOrEqual" showErrorMessage="1" errorTitle="Invalid budget" error="Enter a nonnegative budget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9" customHeight="1">
      <x:c r="A2" s="2" t="str">
        <x:v>Carbonara ingredients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 t="str">
        <x:v>Source: user-provided illustrative data. All quantities and package sizes are in grams.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 t="str">
        <x:v>Egg yolks exclude shells and egg whites. Amber cells are editable recipe inputs.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4" customHeight="1">
      <x:c r="A6" s="10" t="str">
        <x:v>Ingredient</x:v>
      </x:c>
      <x:c r="B6" s="10" t="str">
        <x:v>Base quantity (g)</x:v>
      </x:c>
      <x:c r="C6" s="10" t="str">
        <x:v>Stock available (g)</x:v>
      </x:c>
      <x:c r="D6" s="10" t="str">
        <x:v>Package size (g)</x:v>
      </x:c>
      <x:c r="E6" s="10" t="str">
        <x:v>Package price (USD)</x:v>
      </x:c>
      <x:c r="F6" s="10" t="str">
        <x:v>Required quantity (g)</x:v>
      </x:c>
      <x:c r="G6" s="10" t="str">
        <x:v>Used-ingredient cost (USD)</x:v>
      </x:c>
      <x:c r="H6" s="1"/>
      <x:c r="I6" s="1"/>
      <x:c r="J6" s="1"/>
      <x:c r="K6" s="1"/>
      <x:c r="L6" s="1"/>
    </x:row>
    <x:row r="7" ht="23" customHeight="1">
      <x:c r="A7" s="5" t="str">
        <x:v>Spaghetti (dry)</x:v>
      </x:c>
      <x:c r="B7" s="11" t="n">
        <x:v>200</x:v>
      </x:c>
      <x:c r="C7" s="11" t="n">
        <x:v>100</x:v>
      </x:c>
      <x:c r="D7" s="11" t="n">
        <x:v>500</x:v>
      </x:c>
      <x:c r="E7" s="13" t="n">
        <x:v>2.5</x:v>
      </x:c>
      <x:c r="F7" s="12" t="n">
        <x:f>B7*'Setup'!$B$6/'Setup'!$B$5</x:f>
        <x:v>600</x:v>
      </x:c>
      <x:c r="G7" s="14" t="n">
        <x:f>F7/D7*E7</x:f>
        <x:v>3</x:v>
      </x:c>
      <x:c r="H7" s="1"/>
      <x:c r="I7" s="1"/>
      <x:c r="J7" s="1"/>
      <x:c r="K7" s="1"/>
      <x:c r="L7" s="1"/>
    </x:row>
    <x:row r="8" ht="23" customHeight="1">
      <x:c r="A8" s="5" t="str">
        <x:v>Guanciale</x:v>
      </x:c>
      <x:c r="B8" s="11" t="n">
        <x:v>80</x:v>
      </x:c>
      <x:c r="C8" s="11" t="n">
        <x:v>20</x:v>
      </x:c>
      <x:c r="D8" s="11" t="n">
        <x:v>100</x:v>
      </x:c>
      <x:c r="E8" s="13" t="n">
        <x:v>4</x:v>
      </x:c>
      <x:c r="F8" s="12" t="n">
        <x:f>B8*'Setup'!$B$6/'Setup'!$B$5</x:f>
        <x:v>240</x:v>
      </x:c>
      <x:c r="G8" s="14" t="n">
        <x:f>F8/D8*E8</x:f>
        <x:v>9.6</x:v>
      </x:c>
      <x:c r="H8" s="1"/>
      <x:c r="I8" s="1"/>
      <x:c r="J8" s="1"/>
      <x:c r="K8" s="1"/>
      <x:c r="L8" s="1"/>
    </x:row>
    <x:row r="9" ht="23" customHeight="1">
      <x:c r="A9" s="5" t="str">
        <x:v>Egg yolks</x:v>
      </x:c>
      <x:c r="B9" s="11" t="n">
        <x:v>36</x:v>
      </x:c>
      <x:c r="C9" s="11" t="n">
        <x:v>0</x:v>
      </x:c>
      <x:c r="D9" s="11" t="n">
        <x:v>36</x:v>
      </x:c>
      <x:c r="E9" s="13" t="n">
        <x:v>0.54</x:v>
      </x:c>
      <x:c r="F9" s="12" t="n">
        <x:f>B9*'Setup'!$B$6/'Setup'!$B$5</x:f>
        <x:v>108</x:v>
      </x:c>
      <x:c r="G9" s="14" t="n">
        <x:f>F9/D9*E9</x:f>
        <x:v>1.62</x:v>
      </x:c>
      <x:c r="H9" s="1"/>
      <x:c r="I9" s="1"/>
      <x:c r="J9" s="1"/>
      <x:c r="K9" s="1"/>
      <x:c r="L9" s="1"/>
    </x:row>
    <x:row r="10" ht="23" customHeight="1">
      <x:c r="A10" s="5" t="str">
        <x:v>Pecorino Romano</x:v>
      </x:c>
      <x:c r="B10" s="11" t="n">
        <x:v>40</x:v>
      </x:c>
      <x:c r="C10" s="11" t="n">
        <x:v>10</x:v>
      </x:c>
      <x:c r="D10" s="11" t="n">
        <x:v>100</x:v>
      </x:c>
      <x:c r="E10" s="13" t="n">
        <x:v>3.5</x:v>
      </x:c>
      <x:c r="F10" s="12" t="n">
        <x:f>B10*'Setup'!$B$6/'Setup'!$B$5</x:f>
        <x:v>120</x:v>
      </x:c>
      <x:c r="G10" s="14" t="n">
        <x:f>F10/D10*E10</x:f>
        <x:v>4.2</x:v>
      </x:c>
      <x:c r="H10" s="1"/>
      <x:c r="I10" s="1"/>
      <x:c r="J10" s="1"/>
      <x:c r="K10" s="1"/>
      <x:c r="L10" s="1"/>
    </x:row>
    <x:row r="11" ht="23" customHeight="1">
      <x:c r="A11" s="5" t="str">
        <x:v>Black pepper</x:v>
      </x:c>
      <x:c r="B11" s="11" t="n">
        <x:v>1</x:v>
      </x:c>
      <x:c r="C11" s="11" t="n">
        <x:v>2</x:v>
      </x:c>
      <x:c r="D11" s="11" t="n">
        <x:v>50</x:v>
      </x:c>
      <x:c r="E11" s="13" t="n">
        <x:v>2.5</x:v>
      </x:c>
      <x:c r="F11" s="12" t="n">
        <x:f>B11*'Setup'!$B$6/'Setup'!$B$5</x:f>
        <x:v>3</x:v>
      </x:c>
      <x:c r="G11" s="14" t="n">
        <x:f>F11/D11*E11</x:f>
        <x:v>0.15</x:v>
      </x:c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</x:sheetData>
  <x:pageMargins left="0.7" right="0.7" top="0.75" bottom="0.75" header="0.3" footer="0.3"/>
  <x:tableParts count="1">
    <x:tablePart xmlns:r="http://schemas.openxmlformats.org/officeDocument/2006/relationships" r:id="Rdf7a138d63094e5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9" customHeight="1">
      <x:c r="A2" s="2" t="str">
        <x:v>Shopping list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 t="str">
        <x:v>Desired servings</x:v>
      </x:c>
      <x:c r="B4" s="1" t="n">
        <x:f>'Setup'!B6</x:f>
        <x:v>6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44" customHeight="1">
      <x:c r="A6" s="10" t="str">
        <x:v>Ingredient</x:v>
      </x:c>
      <x:c r="B6" s="10" t="str">
        <x:v>Required (g)</x:v>
      </x:c>
      <x:c r="C6" s="10" t="str">
        <x:v>Stock (g)</x:v>
      </x:c>
      <x:c r="D6" s="10" t="str">
        <x:v>Additional needed (g)</x:v>
      </x:c>
      <x:c r="E6" s="10" t="str">
        <x:v>Package size (g)</x:v>
      </x:c>
      <x:c r="F6" s="10" t="str">
        <x:v>Package price (USD)</x:v>
      </x:c>
      <x:c r="G6" s="10" t="str">
        <x:v>Packages to buy</x:v>
      </x:c>
      <x:c r="H6" s="10" t="str">
        <x:v>Purchase cost (USD)</x:v>
      </x:c>
      <x:c r="I6" s="10" t="str">
        <x:v>Stock after cooking (g)</x:v>
      </x:c>
      <x:c r="J6" s="10" t="str">
        <x:v>Used-ingredient cost (USD)</x:v>
      </x:c>
      <x:c r="K6" s="1"/>
      <x:c r="L6" s="1"/>
    </x:row>
    <x:row r="7" ht="23" customHeight="1">
      <x:c r="A7" s="1" t="str">
        <x:f>'Ingredients'!A7</x:f>
        <x:v>Spaghetti (dry)</x:v>
      </x:c>
      <x:c r="B7" s="12" t="n">
        <x:f>'Ingredients'!F7</x:f>
        <x:v>600</x:v>
      </x:c>
      <x:c r="C7" s="12" t="n">
        <x:f>'Ingredients'!C7</x:f>
        <x:v>100</x:v>
      </x:c>
      <x:c r="D7" s="12" t="n">
        <x:f>MAX(0,B7-C7)</x:f>
        <x:v>500</x:v>
      </x:c>
      <x:c r="E7" s="12" t="n">
        <x:f>'Ingredients'!D7</x:f>
        <x:v>500</x:v>
      </x:c>
      <x:c r="F7" s="14" t="n">
        <x:f>'Ingredients'!E7</x:f>
        <x:v>2.5</x:v>
      </x:c>
      <x:c r="G7" s="15" t="n">
        <x:f>ROUNDUP(D7/E7,0)</x:f>
        <x:v>1</x:v>
      </x:c>
      <x:c r="H7" s="14" t="n">
        <x:f>G7*F7</x:f>
        <x:v>2.5</x:v>
      </x:c>
      <x:c r="I7" s="12" t="n">
        <x:f>C7+G7*E7-B7</x:f>
        <x:v>0</x:v>
      </x:c>
      <x:c r="J7" s="14" t="n">
        <x:f>'Ingredients'!G7</x:f>
        <x:v>3</x:v>
      </x:c>
      <x:c r="K7" s="1"/>
      <x:c r="L7" s="1"/>
    </x:row>
    <x:row r="8" ht="23" customHeight="1">
      <x:c r="A8" s="1" t="str">
        <x:f>'Ingredients'!A8</x:f>
        <x:v>Guanciale</x:v>
      </x:c>
      <x:c r="B8" s="12" t="n">
        <x:f>'Ingredients'!F8</x:f>
        <x:v>240</x:v>
      </x:c>
      <x:c r="C8" s="12" t="n">
        <x:f>'Ingredients'!C8</x:f>
        <x:v>20</x:v>
      </x:c>
      <x:c r="D8" s="12" t="n">
        <x:f>MAX(0,B8-C8)</x:f>
        <x:v>220</x:v>
      </x:c>
      <x:c r="E8" s="12" t="n">
        <x:f>'Ingredients'!D8</x:f>
        <x:v>100</x:v>
      </x:c>
      <x:c r="F8" s="14" t="n">
        <x:f>'Ingredients'!E8</x:f>
        <x:v>4</x:v>
      </x:c>
      <x:c r="G8" s="15" t="n">
        <x:f>ROUNDUP(D8/E8,0)</x:f>
        <x:v>3</x:v>
      </x:c>
      <x:c r="H8" s="14" t="n">
        <x:f>G8*F8</x:f>
        <x:v>12</x:v>
      </x:c>
      <x:c r="I8" s="12" t="n">
        <x:f>C8+G8*E8-B8</x:f>
        <x:v>80</x:v>
      </x:c>
      <x:c r="J8" s="14" t="n">
        <x:f>'Ingredients'!G8</x:f>
        <x:v>9.6</x:v>
      </x:c>
      <x:c r="K8" s="1"/>
      <x:c r="L8" s="1"/>
    </x:row>
    <x:row r="9" ht="23" customHeight="1">
      <x:c r="A9" s="1" t="str">
        <x:f>'Ingredients'!A9</x:f>
        <x:v>Egg yolks</x:v>
      </x:c>
      <x:c r="B9" s="12" t="n">
        <x:f>'Ingredients'!F9</x:f>
        <x:v>108</x:v>
      </x:c>
      <x:c r="C9" s="12" t="n">
        <x:f>'Ingredients'!C9</x:f>
        <x:v>0</x:v>
      </x:c>
      <x:c r="D9" s="12" t="n">
        <x:f>MAX(0,B9-C9)</x:f>
        <x:v>108</x:v>
      </x:c>
      <x:c r="E9" s="12" t="n">
        <x:f>'Ingredients'!D9</x:f>
        <x:v>36</x:v>
      </x:c>
      <x:c r="F9" s="14" t="n">
        <x:f>'Ingredients'!E9</x:f>
        <x:v>0.54</x:v>
      </x:c>
      <x:c r="G9" s="15" t="n">
        <x:f>ROUNDUP(D9/E9,0)</x:f>
        <x:v>3</x:v>
      </x:c>
      <x:c r="H9" s="14" t="n">
        <x:f>G9*F9</x:f>
        <x:v>1.62</x:v>
      </x:c>
      <x:c r="I9" s="12" t="n">
        <x:f>C9+G9*E9-B9</x:f>
        <x:v>0</x:v>
      </x:c>
      <x:c r="J9" s="14" t="n">
        <x:f>'Ingredients'!G9</x:f>
        <x:v>1.62</x:v>
      </x:c>
      <x:c r="K9" s="1"/>
      <x:c r="L9" s="1"/>
    </x:row>
    <x:row r="10" ht="23" customHeight="1">
      <x:c r="A10" s="1" t="str">
        <x:f>'Ingredients'!A10</x:f>
        <x:v>Pecorino Romano</x:v>
      </x:c>
      <x:c r="B10" s="12" t="n">
        <x:f>'Ingredients'!F10</x:f>
        <x:v>120</x:v>
      </x:c>
      <x:c r="C10" s="12" t="n">
        <x:f>'Ingredients'!C10</x:f>
        <x:v>10</x:v>
      </x:c>
      <x:c r="D10" s="12" t="n">
        <x:f>MAX(0,B10-C10)</x:f>
        <x:v>110</x:v>
      </x:c>
      <x:c r="E10" s="12" t="n">
        <x:f>'Ingredients'!D10</x:f>
        <x:v>100</x:v>
      </x:c>
      <x:c r="F10" s="14" t="n">
        <x:f>'Ingredients'!E10</x:f>
        <x:v>3.5</x:v>
      </x:c>
      <x:c r="G10" s="15" t="n">
        <x:f>ROUNDUP(D10/E10,0)</x:f>
        <x:v>2</x:v>
      </x:c>
      <x:c r="H10" s="14" t="n">
        <x:f>G10*F10</x:f>
        <x:v>7</x:v>
      </x:c>
      <x:c r="I10" s="12" t="n">
        <x:f>C10+G10*E10-B10</x:f>
        <x:v>90</x:v>
      </x:c>
      <x:c r="J10" s="14" t="n">
        <x:f>'Ingredients'!G10</x:f>
        <x:v>4.2</x:v>
      </x:c>
      <x:c r="K10" s="1"/>
      <x:c r="L10" s="1"/>
    </x:row>
    <x:row r="11" ht="23" customHeight="1">
      <x:c r="A11" s="1" t="str">
        <x:f>'Ingredients'!A11</x:f>
        <x:v>Black pepper</x:v>
      </x:c>
      <x:c r="B11" s="12" t="n">
        <x:f>'Ingredients'!F11</x:f>
        <x:v>3</x:v>
      </x:c>
      <x:c r="C11" s="12" t="n">
        <x:f>'Ingredients'!C11</x:f>
        <x:v>2</x:v>
      </x:c>
      <x:c r="D11" s="12" t="n">
        <x:f>MAX(0,B11-C11)</x:f>
        <x:v>1</x:v>
      </x:c>
      <x:c r="E11" s="12" t="n">
        <x:f>'Ingredients'!D11</x:f>
        <x:v>50</x:v>
      </x:c>
      <x:c r="F11" s="14" t="n">
        <x:f>'Ingredients'!E11</x:f>
        <x:v>2.5</x:v>
      </x:c>
      <x:c r="G11" s="15" t="n">
        <x:f>ROUNDUP(D11/E11,0)</x:f>
        <x:v>1</x:v>
      </x:c>
      <x:c r="H11" s="14" t="n">
        <x:f>G11*F11</x:f>
        <x:v>2.5</x:v>
      </x:c>
      <x:c r="I11" s="12" t="n">
        <x:f>C11+G11*E11-B11</x:f>
        <x:v>49</x:v>
      </x:c>
      <x:c r="J11" s="14" t="n">
        <x:f>'Ingredients'!G11</x:f>
        <x:v>0.15</x:v>
      </x:c>
      <x:c r="K11" s="1"/>
      <x:c r="L11" s="1"/>
    </x:row>
    <x:row r="12" ht="23" customHeight="1">
      <x:c r="A12" s="1"/>
      <x:c r="B12" s="1"/>
      <x:c r="C12" s="1"/>
      <x:c r="D12" s="1"/>
      <x:c r="E12" s="1"/>
      <x:c r="F12" s="14"/>
      <x:c r="G12" s="1"/>
      <x:c r="H12" s="14"/>
      <x:c r="I12" s="1"/>
      <x:c r="J12" s="14"/>
      <x:c r="K12" s="1"/>
      <x:c r="L12" s="1"/>
    </x:row>
    <x:row r="13" ht="23" customHeight="1">
      <x:c r="A13" s="18" t="str">
        <x:v>Totals</x:v>
      </x:c>
      <x:c r="B13" s="18"/>
      <x:c r="C13" s="18"/>
      <x:c r="D13" s="18"/>
      <x:c r="E13" s="18"/>
      <x:c r="F13" s="19"/>
      <x:c r="G13" s="18"/>
      <x:c r="H13" s="19" t="n">
        <x:f>SUM(H7:H11)</x:f>
        <x:v>25.62</x:v>
      </x:c>
      <x:c r="I13" s="18"/>
      <x:c r="J13" s="19" t="n">
        <x:f>SUM(J7:J11)</x:f>
        <x:v>18.569999999999997</x:v>
      </x:c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</x:sheetData>
  <x:conditionalFormatting sqref="A7:J11">
    <x:cfRule type="expression" dxfId="0" priority="1">
      <x:formula>$G7&gt;0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63C50"/>
  </x:sheetPr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9" customHeight="1">
      <x:c r="A2" s="2" t="str">
        <x:v>Carbonara cost dashboard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Desired servings</x:v>
      </x:c>
      <x:c r="B5" s="1" t="n">
        <x:f>'Setup'!B6</x:f>
        <x:v>6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Used-ingredient cost</x:v>
      </x:c>
      <x:c r="B6" s="14" t="n">
        <x:f>'ShoppingList'!J13</x:f>
        <x:v>18.569999999999997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Used cost per serving</x:v>
      </x:c>
      <x:c r="B7" s="20" t="n">
        <x:f>B6/B5</x:f>
        <x:v>3.0949999999999993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6" t="str">
        <x:v>Total purchase cost</x:v>
      </x:c>
      <x:c r="B8" s="17" t="n">
        <x:f>'ShoppingList'!H13</x:f>
        <x:v>25.62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Budget</x:v>
      </x:c>
      <x:c r="B9" s="14" t="n">
        <x:f>'Setup'!B7</x:f>
        <x:v>20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Budget remaining</x:v>
      </x:c>
      <x:c r="B10" s="14" t="n">
        <x:f>B9-B8</x:f>
        <x:v>-5.620000000000001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 t="str">
        <x:v>Budget status</x:v>
      </x:c>
      <x:c r="B11" s="1" t="str">
        <x:f>IF(B8&lt;=B9,"Within budget","Over budget")</x:f>
        <x:v>Over budget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</x:sheetData>
  <x:conditionalFormatting sqref="B8:B8">
    <x:cfRule type="expression" dxfId="1" priority="1">
      <x:formula>B8&gt;B9</x:formula>
    </x:cfRule>
  </x:conditionalFormatting>
  <x:conditionalFormatting sqref="B11:B11">
    <x:cfRule type="expression" dxfId="2" priority="2">
      <x:formula>$B$8&gt;$B$9</x:formula>
    </x:cfRule>
  </x:conditionalFormatting>
  <x:pageMargins left="0.7" right="0.7" top="0.75" bottom="0.75" header="0.3" footer="0.3"/>
  <x:drawing xmlns:r="http://schemas.openxmlformats.org/officeDocument/2006/relationships" r:id="R3fca4d60e4e249bf"/>
</x:worksheet>
</file>