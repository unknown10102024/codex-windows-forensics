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b0ad4e1a0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f14f57a3ead04cde"/>
    <x:sheet xmlns:r="http://schemas.openxmlformats.org/officeDocument/2006/relationships" name="Ingredients" sheetId="2" r:id="R5c993d356123459d"/>
    <x:sheet xmlns:r="http://schemas.openxmlformats.org/officeDocument/2006/relationships" name="ShoppingList" sheetId="3" r:id="Rf1b5bd99c2e04a9d"/>
    <x:sheet xmlns:r="http://schemas.openxmlformats.org/officeDocument/2006/relationships" name="Dashboard" sheetId="4" r:id="R1049266a41f1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&quot;$&quot;#,##0.00;(&quot;$&quot;#,##0.00);&quot;$&quot;0.00"/>
    <x:numFmt numFmtId="202" formatCode="#,##0.0"/>
    <x:numFmt numFmtId="203" formatCode="&quot;$&quot;#,##0.000;(&quot;$&quot;#,##0.000);&quot;$&quot;0.000"/>
  </x:numFmts>
  <x:fonts count="10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b/>
      <x:sz val="11"/>
      <x:color rgb="FFFFFFFF"/>
      <x:name val="Arial"/>
    </x:font>
    <x:font>
      <x:sz val="11"/>
      <x:color rgb="FF245BB2"/>
      <x:name val="Arial"/>
    </x:font>
    <x:font>
      <x:b/>
      <x:sz val="11"/>
      <x:color rgb="FF245BB2"/>
      <x:name val="Arial"/>
    </x:font>
    <x:font>
      <x:i/>
      <x:sz val="11"/>
      <x:color rgb="FF586878"/>
      <x:name val="Arial"/>
    </x:font>
    <x:font>
      <x:sz val="11"/>
      <x:color rgb="FF23683E"/>
      <x:name val="Arial"/>
    </x:font>
    <x:font>
      <x:sz val="11"/>
      <x:color rgb="FF202020"/>
      <x:name val="Arial"/>
    </x:font>
    <x:font>
      <x:b/>
      <x:sz val="11"/>
      <x:color rgb="FF2436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2CD"/>
      </x:patternFill>
    </x:fill>
    <x:fill>
      <x:patternFill patternType="solid">
        <x:fgColor rgb="FFF1F4F8"/>
      </x:patternFill>
    </x:fill>
  </x:fills>
  <x:borders count="6">
    <x:border/>
    <x:border>
      <x:bottom style="thin">
        <x:color rgb="FFA9B7C6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A9B7C6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202" fontId="4" fillId="3" borderId="0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201" fontId="9" fillId="0" borderId="5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horizontal="right"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3" fontId="9" fillId="0" borderId="0" xfId="0" applyNumberFormat="1" applyFont="1" applyFill="1" applyBorder="1" applyAlignment="1">
      <x:alignment horizontal="right" vertical="center"/>
    </x:xf>
    <x:xf numFmtId="200" fontId="9" fillId="4" borderId="0" xfId="0" applyNumberFormat="1" applyFont="1" applyFill="1" applyBorder="1" applyAlignment="1">
      <x:alignment horizontal="right" vertical="center"/>
    </x:xf>
    <x:xf numFmtId="201" fontId="9" fillId="4" borderId="0" xfId="0" applyNumberFormat="1" applyFont="1" applyFill="1" applyBorder="1" applyAlignment="1">
      <x:alignment horizontal="right" vertical="center"/>
    </x:xf>
    <x:xf numFmtId="203" fontId="9" fillId="4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6">
    <x:dxf>
      <x:fill>
        <x:patternFill patternType="solid">
          <x:bgColor rgb="FFE8F0F8"/>
        </x:patternFill>
      </x:fill>
    </x:dxf>
    <x:dxf>
      <x:font>
        <x:b/>
        <x:color rgb="FFA32626"/>
      </x:font>
      <x:fill>
        <x:patternFill patternType="solid">
          <x:bgColor rgb="FFFCE4E4"/>
        </x:patternFill>
      </x:fill>
    </x:dxf>
    <x:dxf>
      <x:font>
        <x:b/>
        <x:color rgb="FFA32626"/>
      </x:font>
      <x:fill>
        <x:patternFill patternType="solid">
          <x:bgColor rgb="FFFCE4E4"/>
        </x:patternFill>
      </x:fill>
    </x:dxf>
    <x:dxf>
      <x:font>
        <x:b/>
        <x:color rgb="FFA32626"/>
      </x:font>
      <x:fill>
        <x:patternFill patternType="solid">
          <x:bgColor rgb="FFFCE4E4"/>
        </x:patternFill>
      </x:fill>
    </x:dxf>
    <x:dxf>
      <x:font>
        <x:b/>
        <x:color rgb="FFA32626"/>
      </x:font>
      <x:fill>
        <x:patternFill patternType="solid">
          <x:bgColor rgb="FFFCE4E4"/>
        </x:patternFill>
      </x:fill>
    </x:dxf>
    <x:dxf>
      <x:fill>
        <x:patternFill patternType="solid">
          <x:bgColor rgb="FFE8F0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e5e1da9164772" /><Relationship Type="http://schemas.openxmlformats.org/officeDocument/2006/relationships/theme" Target="/xl/theme/theme1.xml" Id="Rba273e1cbddc4fb4" /><Relationship Type="http://schemas.openxmlformats.org/officeDocument/2006/relationships/sharedStrings" Target="/xl/sharedStrings.xml" Id="R0a07c670679b4337" /><Relationship Type="http://schemas.openxmlformats.org/officeDocument/2006/relationships/worksheet" Target="/xl/worksheets/sheet1.xml" Id="Rf14f57a3ead04cde" /><Relationship Type="http://schemas.openxmlformats.org/officeDocument/2006/relationships/worksheet" Target="/xl/worksheets/sheet2.xml" Id="R5c993d356123459d" /><Relationship Type="http://schemas.openxmlformats.org/officeDocument/2006/relationships/worksheet" Target="/xl/worksheets/sheet3.xml" Id="Rf1b5bd99c2e04a9d" /><Relationship Type="http://schemas.openxmlformats.org/officeDocument/2006/relationships/worksheet" Target="/xl/worksheets/sheet4.xml" Id="R1049266a41f149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5c8542ea114163" /><Relationship Type="http://schemas.openxmlformats.org/officeDocument/2006/relationships/chart" Target="/xl/drawings/charts/chart2.xml" Id="R9d07232c88a046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2F5F8F"/>
            </a:solidFill>
          </c:spPr>
          <c:cat>
            <c:strRef>
              <c:f>'Dashboard'!$A$33:$A$37</c:f>
              <c:strCache>
                <c:ptCount val="0"/>
              </c:strCache>
            </c:strRef>
          </c:cat>
          <c:val>
            <c:numRef>
              <c:f>'Dashboard'!$B$33:$B$37</c:f>
              <c:numCache>
                <c:formatCode>"$"#,##0.00;("$"#,##0.00);"$"0.00</c:formatCode>
                <c:ptCount val="0"/>
              </c:numCache>
            </c:numRef>
          </c:val>
        </c:ser>
        <c:gapWidth val="8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'Dashboard'!$A$33:$A$37</c:f>
              <c:strCache>
                <c:ptCount val="0"/>
              </c:strCache>
            </c:strRef>
          </c:cat>
          <c:val>
            <c:numRef>
              <c:f>'Dashboard'!$C$33:$C$37</c:f>
              <c:numCache>
                <c:formatCode>"$"#,##0.00;("$"#,##0.00);"$"0.00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5c8542ea114163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07232c88a046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ipeIngredients" displayName="RecipeIngredients" ref="A6:G11" headerRowCount="1" totalsRowCount="0" totalsRowShown="0">
  <x:autoFilter ref="A6:G11"/>
  <x:tableColumns count="7">
    <x:tableColumn id="1" name="Ingredient"/>
    <x:tableColumn id="2" name="Base quantity (g)"/>
    <x:tableColumn id="3" name="Stock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oppingItems" displayName="ShoppingItems" ref="A6:J11" headerRowCount="1" totalsRowCount="0" totalsRowShown="0">
  <x:autoFilter ref="A6:J11"/>
  <x:tableColumns count="10">
    <x:tableColumn id="1" name="Ingredient"/>
    <x:tableColumn id="2" name="Required (g)"/>
    <x:tableColumn id="3" name="Stock (g)"/>
    <x:tableColumn id="4" name="Additional needed (g)"/>
    <x:tableColumn id="5" name="Package size (g)"/>
    <x:tableColumn id="6" name="Package price (USD)"/>
    <x:tableColumn id="7" name="Packages to buy"/>
    <x:tableColumn id="8" name="Purchase cost (USD)"/>
    <x:tableColumn id="9" name="Stock remaining (g)"/>
    <x:tableColumn id="10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9d62df64f847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4486f655b84e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ca02f1af5984683" /></Relationships>
</file>

<file path=xl/worksheets/sheet1.xml><?xml version="1.0" encoding="utf-8"?>
<x:worksheet xmlns:x="http://schemas.openxmlformats.org/spreadsheetml/2006/main">
  <x:sheetPr>
    <x:tabColor rgb="FF7896B4"/>
  </x:sheetPr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69" hidden="0" customWidth="1"/>
  </x:cols>
  <x:sheetData>
    <x:row r="1" ht="24" customHeight="1">
      <x:c r="A1" s="2"/>
      <x:c r="B1" s="2"/>
      <x:c r="C1" s="2"/>
    </x:row>
    <x:row r="2" ht="30" customHeight="1">
      <x:c r="A2" s="3" t="str">
        <x:v>Carbonara meal planner</x:v>
      </x:c>
      <x:c r="B2" s="2"/>
      <x:c r="C2" s="2"/>
    </x:row>
    <x:row r="3" ht="24" customHeight="1">
      <x:c r="A3" s="4"/>
      <x:c r="B3" s="4"/>
      <x:c r="C3" s="4"/>
    </x:row>
    <x:row r="4" ht="28" customHeight="1">
      <x:c r="A4" s="9" t="str">
        <x:v>Setting</x:v>
      </x:c>
      <x:c r="B4" s="10" t="str">
        <x:v>Value</x:v>
      </x:c>
      <x:c r="C4" s="11" t="str">
        <x:v>Guidance</x:v>
      </x:c>
    </x:row>
    <x:row r="5" ht="24" customHeight="1">
      <x:c r="A5" s="2" t="str">
        <x:v>Base recipe servings</x:v>
      </x:c>
      <x:c r="B5" s="17" t="n">
        <x:v>2</x:v>
      </x:c>
      <x:c r="C5" s="2" t="str">
        <x:v>Base ingredient quantities are for 2 servings.</x:v>
      </x:c>
    </x:row>
    <x:row r="6" ht="24" customHeight="1">
      <x:c r="A6" s="2" t="str">
        <x:v>Desired servings</x:v>
      </x:c>
      <x:c r="B6" s="20" t="n">
        <x:v>6</x:v>
      </x:c>
      <x:c r="C6" s="2" t="str">
        <x:v>Enter a whole number from 1 through 20.</x:v>
      </x:c>
    </x:row>
    <x:row r="7" ht="24" customHeight="1">
      <x:c r="A7" s="2" t="str">
        <x:v>Shopping budget (USD)</x:v>
      </x:c>
      <x:c r="B7" s="21" t="n">
        <x:v>20</x:v>
      </x:c>
      <x:c r="C7" s="2" t="str">
        <x:v>Enter a nonnegative amount in USD.</x:v>
      </x:c>
    </x:row>
    <x:row r="8" ht="24" customHeight="1">
      <x:c r="A8" s="2"/>
      <x:c r="B8" s="2"/>
      <x:c r="C8" s="2"/>
    </x:row>
    <x:row r="9" ht="24" customHeight="1">
      <x:c r="A9" s="2"/>
      <x:c r="B9" s="2"/>
      <x:c r="C9" s="2"/>
    </x:row>
    <x:row r="10" ht="24" customHeight="1">
      <x:c r="A10" s="22" t="str">
        <x:v>Amber cells are editable inputs.</x:v>
      </x:c>
      <x:c r="B10" s="2"/>
      <x:c r="C10" s="2"/>
    </x:row>
    <x:row r="11" ht="24" customHeight="1">
      <x:c r="A11" s="2"/>
      <x:c r="B11" s="2"/>
      <x:c r="C11" s="2"/>
    </x:row>
    <x:row r="12" ht="24" customHeight="1">
      <x:c r="A12" s="22" t="str">
        <x:v>Used-ingredient cost values the full quantity consumed, including available stock.</x:v>
      </x:c>
      <x:c r="B12" s="2"/>
      <x:c r="C12" s="2"/>
    </x:row>
    <x:row r="13" ht="24" customHeight="1">
      <x:c r="A13" s="22" t="str">
        <x:v>Purchase cost is the cash needed to buy whole packages after using available stock.</x:v>
      </x:c>
      <x:c r="B13" s="2"/>
      <x:c r="C13" s="2"/>
    </x:row>
    <x:row r="14" ht="24" customHeight="1">
      <x:c r="A14" s="2"/>
      <x:c r="B14" s="2"/>
      <x:c r="C14" s="2"/>
    </x:row>
    <x:row r="15" ht="24" customHeight="1">
      <x:c r="A15" s="2"/>
      <x:c r="B15" s="2"/>
      <x:c r="C15" s="2"/>
    </x:row>
  </x:sheetData>
  <x:dataValidations count="2">
    <x:dataValidation type="whole" errorStyle="stop" operator="between" showErrorMessage="1" errorTitle="Invalid servings" error="Enter a whole number from 1 through 20." sqref="B5:B6">
      <x:formula1>1</x:formula1>
      <x:formula2>20</x:formula2>
    </x:dataValidation>
    <x:dataValidation type="decimal" errorStyle="stop" operator="greaterThanOrEqual" showErrorMessage="1" errorTitle="Invalid budget" error="Enter a nonnegative number in USD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Recipe ingredients</x:v>
      </x:c>
      <x:c r="B2" s="2"/>
      <x:c r="C2" s="2"/>
      <x:c r="D2" s="2"/>
      <x:c r="E2" s="2"/>
      <x:c r="F2" s="2"/>
      <x:c r="G2" s="2"/>
    </x:row>
    <x:row r="3" ht="24" customHeight="1">
      <x:c r="A3" s="4"/>
      <x:c r="B3" s="4"/>
      <x:c r="C3" s="4"/>
      <x:c r="D3" s="4"/>
      <x:c r="E3" s="4"/>
      <x:c r="F3" s="4"/>
      <x:c r="G3" s="4"/>
    </x:row>
    <x:row r="4" ht="24" customHeight="1">
      <x:c r="A4" s="22" t="str">
        <x:v>Source: fixed illustrative data supplied for this meal plan. All quantities are in grams.</x:v>
      </x:c>
      <x:c r="B4" s="2"/>
      <x:c r="C4" s="2"/>
      <x:c r="D4" s="2"/>
      <x:c r="E4" s="2"/>
      <x:c r="F4" s="2"/>
      <x:c r="G4" s="2"/>
    </x:row>
    <x:row r="5" ht="24" customHeight="1">
      <x:c r="A5" s="22" t="str">
        <x:v>Egg yolks are weighed without shells or egg whites.</x:v>
      </x:c>
      <x:c r="B5" s="2"/>
      <x:c r="C5" s="2"/>
      <x:c r="D5" s="2"/>
      <x:c r="E5" s="2"/>
      <x:c r="F5" s="2"/>
      <x:c r="G5" s="2"/>
    </x:row>
    <x:row r="6" ht="48" customHeight="1">
      <x:c r="A6" s="9" t="str">
        <x:v>Ingredient</x:v>
      </x:c>
      <x:c r="B6" s="10" t="str">
        <x:v>Base quantity (g)</x:v>
      </x:c>
      <x:c r="C6" s="10" t="str">
        <x:v>Stock (g)</x:v>
      </x:c>
      <x:c r="D6" s="10" t="str">
        <x:v>Package size (g)</x:v>
      </x:c>
      <x:c r="E6" s="10" t="str">
        <x:v>Package price (USD)</x:v>
      </x:c>
      <x:c r="F6" s="10" t="str">
        <x:v>Required quantity (g)</x:v>
      </x:c>
      <x:c r="G6" s="11" t="str">
        <x:v>Used-ingredient cost (USD)</x:v>
      </x:c>
    </x:row>
    <x:row r="7" ht="27" customHeight="1">
      <x:c r="A7" s="2" t="str">
        <x:v>Spaghetti (dry)</x:v>
      </x:c>
      <x:c r="B7" s="27" t="n">
        <x:v>200</x:v>
      </x:c>
      <x:c r="C7" s="27" t="n">
        <x:v>100</x:v>
      </x:c>
      <x:c r="D7" s="27" t="n">
        <x:v>500</x:v>
      </x:c>
      <x:c r="E7" s="19" t="n">
        <x:v>2.5</x:v>
      </x:c>
      <x:c r="F7" s="28" t="n">
        <x:f>B7*'Setup'!$B$6/'Setup'!$B$5</x:f>
        <x:v>600</x:v>
      </x:c>
      <x:c r="G7" s="29" t="n">
        <x:f>F7/D7*E7</x:f>
        <x:v>3</x:v>
      </x:c>
    </x:row>
    <x:row r="8" ht="27" customHeight="1">
      <x:c r="A8" s="2" t="str">
        <x:v>Guanciale</x:v>
      </x:c>
      <x:c r="B8" s="27" t="n">
        <x:v>80</x:v>
      </x:c>
      <x:c r="C8" s="27" t="n">
        <x:v>20</x:v>
      </x:c>
      <x:c r="D8" s="27" t="n">
        <x:v>100</x:v>
      </x:c>
      <x:c r="E8" s="19" t="n">
        <x:v>4</x:v>
      </x:c>
      <x:c r="F8" s="28" t="n">
        <x:f>B8*'Setup'!$B$6/'Setup'!$B$5</x:f>
        <x:v>240</x:v>
      </x:c>
      <x:c r="G8" s="29" t="n">
        <x:f>F8/D8*E8</x:f>
        <x:v>9.6</x:v>
      </x:c>
    </x:row>
    <x:row r="9" ht="27" customHeight="1">
      <x:c r="A9" s="2" t="str">
        <x:v>Egg yolks</x:v>
      </x:c>
      <x:c r="B9" s="27" t="n">
        <x:v>36</x:v>
      </x:c>
      <x:c r="C9" s="27" t="n">
        <x:v>0</x:v>
      </x:c>
      <x:c r="D9" s="27" t="n">
        <x:v>36</x:v>
      </x:c>
      <x:c r="E9" s="19" t="n">
        <x:v>0.54</x:v>
      </x:c>
      <x:c r="F9" s="28" t="n">
        <x:f>B9*'Setup'!$B$6/'Setup'!$B$5</x:f>
        <x:v>108</x:v>
      </x:c>
      <x:c r="G9" s="29" t="n">
        <x:f>F9/D9*E9</x:f>
        <x:v>1.62</x:v>
      </x:c>
    </x:row>
    <x:row r="10" ht="27" customHeight="1">
      <x:c r="A10" s="2" t="str">
        <x:v>Pecorino Romano</x:v>
      </x:c>
      <x:c r="B10" s="27" t="n">
        <x:v>40</x:v>
      </x:c>
      <x:c r="C10" s="27" t="n">
        <x:v>10</x:v>
      </x:c>
      <x:c r="D10" s="27" t="n">
        <x:v>100</x:v>
      </x:c>
      <x:c r="E10" s="19" t="n">
        <x:v>3.5</x:v>
      </x:c>
      <x:c r="F10" s="28" t="n">
        <x:f>B10*'Setup'!$B$6/'Setup'!$B$5</x:f>
        <x:v>120</x:v>
      </x:c>
      <x:c r="G10" s="29" t="n">
        <x:f>F10/D10*E10</x:f>
        <x:v>4.2</x:v>
      </x:c>
    </x:row>
    <x:row r="11" ht="27" customHeight="1">
      <x:c r="A11" s="2" t="str">
        <x:v>Black pepper</x:v>
      </x:c>
      <x:c r="B11" s="27" t="n">
        <x:v>1</x:v>
      </x:c>
      <x:c r="C11" s="27" t="n">
        <x:v>2</x:v>
      </x:c>
      <x:c r="D11" s="27" t="n">
        <x:v>50</x:v>
      </x:c>
      <x:c r="E11" s="19" t="n">
        <x:v>2.5</x:v>
      </x:c>
      <x:c r="F11" s="28" t="n">
        <x:f>B11*'Setup'!$B$6/'Setup'!$B$5</x:f>
        <x:v>3</x:v>
      </x:c>
      <x:c r="G11" s="29" t="n">
        <x:f>F11/D11*E11</x:f>
        <x:v>0.15</x:v>
      </x:c>
    </x:row>
    <x:row r="12" ht="24" customHeight="1">
      <x:c r="A12" s="2"/>
      <x:c r="B12" s="2"/>
      <x:c r="C12" s="2"/>
      <x:c r="D12" s="2"/>
      <x:c r="E12" s="2"/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</x:sheetData>
  <x:dataValidations count="3">
    <x:dataValidation type="decimal" errorStyle="stop" operator="greaterThanOrEqual" showErrorMessage="1" errorTitle="Invalid quantity" error="Enter a nonnegative quantity in grams." sqref="B7:C11">
      <x:formula1>0</x:formula1>
    </x:dataValidation>
    <x:dataValidation type="decimal" errorStyle="stop" operator="greaterThan" showErrorMessage="1" errorTitle="Invalid package size" error="Enter a positive package size in grams." sqref="D7:D11">
      <x:formula1>0</x:formula1>
    </x:dataValidation>
    <x:dataValidation type="decimal" errorStyle="stop" operator="greaterThanOrEqual" showErrorMessage="1" errorTitle="Invalid price" error="Enter a nonnegative package price in USD." sqref="E7:E1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9d62df64f847e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9" hidden="0" customWidth="1"/>
    <x:col min="5" max="5" width="18" hidden="0" customWidth="1"/>
    <x:col min="6" max="6" width="19" hidden="0" customWidth="1"/>
    <x:col min="7" max="7" width="16" hidden="0" customWidth="1"/>
    <x:col min="8" max="8" width="19" hidden="0" customWidth="1"/>
    <x:col min="9" max="9" width="23" hidden="0" customWidth="1"/>
    <x:col min="10" max="10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Shopping list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Desired servings</x:v>
      </x:c>
      <x:c r="B3" s="32" t="n">
        <x:f>'Setup'!$B$6</x:f>
        <x:v>6</x:v>
      </x:c>
      <x:c r="C3" s="2"/>
      <x:c r="D3" s="2" t="str">
        <x:v>Budget (USD)</x:v>
      </x:c>
      <x:c r="E3" s="33" t="n">
        <x:f>'Setup'!$B$7</x:f>
        <x:v>20</x:v>
      </x:c>
      <x:c r="F3" s="2"/>
      <x:c r="G3" s="2"/>
      <x:c r="H3" s="2"/>
      <x:c r="I3" s="2"/>
      <x:c r="J3" s="2"/>
    </x:row>
    <x:row r="4" ht="24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24" customHeight="1">
      <x:c r="A5" s="22" t="str">
        <x:v>Blue shading marks ingredients that require a purchase. Zero-purchase ingredients remain listed.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48" customHeight="1">
      <x:c r="A6" s="9" t="str">
        <x:v>Ingredient</x:v>
      </x:c>
      <x:c r="B6" s="10" t="str">
        <x:v>Required (g)</x:v>
      </x:c>
      <x:c r="C6" s="10" t="str">
        <x:v>Stock (g)</x:v>
      </x:c>
      <x:c r="D6" s="10" t="str">
        <x:v>Additional needed (g)</x:v>
      </x:c>
      <x:c r="E6" s="10" t="str">
        <x:v>Package size (g)</x:v>
      </x:c>
      <x:c r="F6" s="10" t="str">
        <x:v>Package price (USD)</x:v>
      </x:c>
      <x:c r="G6" s="10" t="str">
        <x:v>Packages to buy</x:v>
      </x:c>
      <x:c r="H6" s="10" t="str">
        <x:v>Purchase cost (USD)</x:v>
      </x:c>
      <x:c r="I6" s="10" t="str">
        <x:v>Stock remaining (g)</x:v>
      </x:c>
      <x:c r="J6" s="11" t="str">
        <x:v>Used-ingredient cost (USD)</x:v>
      </x:c>
    </x:row>
    <x:row r="7" ht="27" customHeight="1">
      <x:c r="A7" s="35" t="str">
        <x:f>'Ingredients'!A7</x:f>
        <x:v>Spaghetti (dry)</x:v>
      </x:c>
      <x:c r="B7" s="28" t="n">
        <x:f>'Ingredients'!F7</x:f>
        <x:v>600</x:v>
      </x:c>
      <x:c r="C7" s="28" t="n">
        <x:f>'Ingredients'!C7</x:f>
        <x:v>100</x:v>
      </x:c>
      <x:c r="D7" s="34" t="n">
        <x:f>MAX(B7-C7,0)</x:f>
        <x:v>500</x:v>
      </x:c>
      <x:c r="E7" s="28" t="n">
        <x:f>'Ingredients'!D7</x:f>
        <x:v>500</x:v>
      </x:c>
      <x:c r="F7" s="36" t="n">
        <x:f>'Ingredients'!E7</x:f>
        <x:v>2.5</x:v>
      </x:c>
      <x:c r="G7" s="13" t="n">
        <x:f>ROUNDUP(D7/E7,0)</x:f>
        <x:v>1</x:v>
      </x:c>
      <x:c r="H7" s="14" t="n">
        <x:f>G7*F7</x:f>
        <x:v>2.5</x:v>
      </x:c>
      <x:c r="I7" s="34" t="n">
        <x:f>C7+G7*E7-B7</x:f>
        <x:v>0</x:v>
      </x:c>
      <x:c r="J7" s="36" t="n">
        <x:f>'Ingredients'!G7</x:f>
        <x:v>3</x:v>
      </x:c>
    </x:row>
    <x:row r="8" ht="27" customHeight="1">
      <x:c r="A8" s="35" t="str">
        <x:f>'Ingredients'!A8</x:f>
        <x:v>Guanciale</x:v>
      </x:c>
      <x:c r="B8" s="28" t="n">
        <x:f>'Ingredients'!F8</x:f>
        <x:v>240</x:v>
      </x:c>
      <x:c r="C8" s="28" t="n">
        <x:f>'Ingredients'!C8</x:f>
        <x:v>20</x:v>
      </x:c>
      <x:c r="D8" s="34" t="n">
        <x:f>MAX(B8-C8,0)</x:f>
        <x:v>220</x:v>
      </x:c>
      <x:c r="E8" s="28" t="n">
        <x:f>'Ingredients'!D8</x:f>
        <x:v>100</x:v>
      </x:c>
      <x:c r="F8" s="36" t="n">
        <x:f>'Ingredients'!E8</x:f>
        <x:v>4</x:v>
      </x:c>
      <x:c r="G8" s="13" t="n">
        <x:f>ROUNDUP(D8/E8,0)</x:f>
        <x:v>3</x:v>
      </x:c>
      <x:c r="H8" s="14" t="n">
        <x:f>G8*F8</x:f>
        <x:v>12</x:v>
      </x:c>
      <x:c r="I8" s="34" t="n">
        <x:f>C8+G8*E8-B8</x:f>
        <x:v>80</x:v>
      </x:c>
      <x:c r="J8" s="36" t="n">
        <x:f>'Ingredients'!G8</x:f>
        <x:v>9.6</x:v>
      </x:c>
    </x:row>
    <x:row r="9" ht="27" customHeight="1">
      <x:c r="A9" s="35" t="str">
        <x:f>'Ingredients'!A9</x:f>
        <x:v>Egg yolks</x:v>
      </x:c>
      <x:c r="B9" s="28" t="n">
        <x:f>'Ingredients'!F9</x:f>
        <x:v>108</x:v>
      </x:c>
      <x:c r="C9" s="28" t="n">
        <x:f>'Ingredients'!C9</x:f>
        <x:v>0</x:v>
      </x:c>
      <x:c r="D9" s="34" t="n">
        <x:f>MAX(B9-C9,0)</x:f>
        <x:v>108</x:v>
      </x:c>
      <x:c r="E9" s="28" t="n">
        <x:f>'Ingredients'!D9</x:f>
        <x:v>36</x:v>
      </x:c>
      <x:c r="F9" s="36" t="n">
        <x:f>'Ingredients'!E9</x:f>
        <x:v>0.54</x:v>
      </x:c>
      <x:c r="G9" s="13" t="n">
        <x:f>ROUNDUP(D9/E9,0)</x:f>
        <x:v>3</x:v>
      </x:c>
      <x:c r="H9" s="14" t="n">
        <x:f>G9*F9</x:f>
        <x:v>1.62</x:v>
      </x:c>
      <x:c r="I9" s="34" t="n">
        <x:f>C9+G9*E9-B9</x:f>
        <x:v>0</x:v>
      </x:c>
      <x:c r="J9" s="36" t="n">
        <x:f>'Ingredients'!G9</x:f>
        <x:v>1.62</x:v>
      </x:c>
    </x:row>
    <x:row r="10" ht="27" customHeight="1">
      <x:c r="A10" s="35" t="str">
        <x:f>'Ingredients'!A10</x:f>
        <x:v>Pecorino Romano</x:v>
      </x:c>
      <x:c r="B10" s="28" t="n">
        <x:f>'Ingredients'!F10</x:f>
        <x:v>120</x:v>
      </x:c>
      <x:c r="C10" s="28" t="n">
        <x:f>'Ingredients'!C10</x:f>
        <x:v>10</x:v>
      </x:c>
      <x:c r="D10" s="34" t="n">
        <x:f>MAX(B10-C10,0)</x:f>
        <x:v>110</x:v>
      </x:c>
      <x:c r="E10" s="28" t="n">
        <x:f>'Ingredients'!D10</x:f>
        <x:v>100</x:v>
      </x:c>
      <x:c r="F10" s="36" t="n">
        <x:f>'Ingredients'!E10</x:f>
        <x:v>3.5</x:v>
      </x:c>
      <x:c r="G10" s="13" t="n">
        <x:f>ROUNDUP(D10/E10,0)</x:f>
        <x:v>2</x:v>
      </x:c>
      <x:c r="H10" s="14" t="n">
        <x:f>G10*F10</x:f>
        <x:v>7</x:v>
      </x:c>
      <x:c r="I10" s="34" t="n">
        <x:f>C10+G10*E10-B10</x:f>
        <x:v>90</x:v>
      </x:c>
      <x:c r="J10" s="36" t="n">
        <x:f>'Ingredients'!G10</x:f>
        <x:v>4.2</x:v>
      </x:c>
    </x:row>
    <x:row r="11" ht="27" customHeight="1">
      <x:c r="A11" s="35" t="str">
        <x:f>'Ingredients'!A11</x:f>
        <x:v>Black pepper</x:v>
      </x:c>
      <x:c r="B11" s="28" t="n">
        <x:f>'Ingredients'!F11</x:f>
        <x:v>3</x:v>
      </x:c>
      <x:c r="C11" s="28" t="n">
        <x:f>'Ingredients'!C11</x:f>
        <x:v>2</x:v>
      </x:c>
      <x:c r="D11" s="34" t="n">
        <x:f>MAX(B11-C11,0)</x:f>
        <x:v>1</x:v>
      </x:c>
      <x:c r="E11" s="28" t="n">
        <x:f>'Ingredients'!D11</x:f>
        <x:v>50</x:v>
      </x:c>
      <x:c r="F11" s="36" t="n">
        <x:f>'Ingredients'!E11</x:f>
        <x:v>2.5</x:v>
      </x:c>
      <x:c r="G11" s="13" t="n">
        <x:f>ROUNDUP(D11/E11,0)</x:f>
        <x:v>1</x:v>
      </x:c>
      <x:c r="H11" s="14" t="n">
        <x:f>G11*F11</x:f>
        <x:v>2.5</x:v>
      </x:c>
      <x:c r="I11" s="34" t="n">
        <x:f>C11+G11*E11-B11</x:f>
        <x:v>49</x:v>
      </x:c>
      <x:c r="J11" s="36" t="n">
        <x:f>'Ingredients'!G11</x:f>
        <x:v>0.15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4" customHeight="1">
      <x:c r="A13" s="38" t="str">
        <x:v>Total cost (USD)</x:v>
      </x:c>
      <x:c r="B13" s="38"/>
      <x:c r="C13" s="38"/>
      <x:c r="D13" s="38"/>
      <x:c r="E13" s="38"/>
      <x:c r="F13" s="38"/>
      <x:c r="G13" s="38"/>
      <x:c r="H13" s="39" t="n">
        <x:f>SUM(H7:H11)</x:f>
        <x:v>25.62</x:v>
      </x:c>
      <x:c r="I13" s="38"/>
      <x:c r="J13" s="39" t="n">
        <x:f>SUM(J7:J11)</x:f>
        <x:v>18.569999999999997</x:v>
      </x:c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</x:sheetData>
  <x:conditionalFormatting sqref="A7:J11">
    <x:cfRule type="expression" dxfId="0" priority="1">
      <x:formula>$G7&gt;0</x:formula>
    </x:cfRule>
  </x:conditionalFormatting>
  <x:conditionalFormatting sqref="H13:H13">
    <x:cfRule type="expression" dxfId="1" priority="2">
      <x:formula>$H$13&gt;$E$3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4486f655b84e06"/>
  </x:tableParts>
</x:worksheet>
</file>

<file path=xl/worksheets/sheet4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8" hidden="0" customWidth="1"/>
    <x:col min="5" max="5" width="3" hidden="0" customWidth="1"/>
    <x:col min="6" max="6" width="6" hidden="0" customWidth="1"/>
    <x:col min="7" max="7" width="27" hidden="0" customWidth="1"/>
    <x:col min="8" max="8" width="14" hidden="0" customWidth="1"/>
    <x:col min="9" max="9" width="14" hidden="0" customWidth="1"/>
    <x:col min="10" max="10" width="18" hidden="0" customWidth="1"/>
    <x:col min="11" max="11" width="3" hidden="0" customWidth="1"/>
    <x:col min="12" max="12" width="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Carbonara cost dashboard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 t="str">
        <x:v>Desired servings</x:v>
      </x:c>
      <x:c r="B5" s="2"/>
      <x:c r="C5" s="2"/>
      <x:c r="D5" s="47" t="n">
        <x:f>'Setup'!$B$6</x:f>
        <x:v>6</x:v>
      </x:c>
      <x:c r="E5" s="2"/>
      <x:c r="F5" s="2"/>
      <x:c r="G5" s="2" t="str">
        <x:v>Purchase cost</x:v>
      </x:c>
      <x:c r="H5" s="2"/>
      <x:c r="I5" s="2"/>
      <x:c r="J5" s="48" t="n">
        <x:f>'ShoppingList'!$H$13</x:f>
        <x:v>25.62</x:v>
      </x:c>
      <x:c r="K5" s="2"/>
      <x:c r="L5" s="2"/>
    </x:row>
    <x:row r="6" ht="24" customHeight="1">
      <x:c r="A6" s="2" t="str">
        <x:v>Used-ingredient cost</x:v>
      </x:c>
      <x:c r="B6" s="2"/>
      <x:c r="C6" s="2"/>
      <x:c r="D6" s="48" t="n">
        <x:f>'ShoppingList'!$J$13</x:f>
        <x:v>18.569999999999997</x:v>
      </x:c>
      <x:c r="E6" s="2"/>
      <x:c r="F6" s="2"/>
      <x:c r="G6" s="2" t="str">
        <x:v>Shopping budget</x:v>
      </x:c>
      <x:c r="H6" s="2"/>
      <x:c r="I6" s="2"/>
      <x:c r="J6" s="48" t="n">
        <x:f>'Setup'!$B$7</x:f>
        <x:v>20</x:v>
      </x:c>
      <x:c r="K6" s="2"/>
      <x:c r="L6" s="2"/>
    </x:row>
    <x:row r="7" ht="24" customHeight="1">
      <x:c r="A7" s="2" t="str">
        <x:v>Used cost per serving</x:v>
      </x:c>
      <x:c r="B7" s="2"/>
      <x:c r="C7" s="2"/>
      <x:c r="D7" s="49" t="n">
        <x:f>D6/D5</x:f>
        <x:v>3.0949999999999993</x:v>
      </x:c>
      <x:c r="E7" s="2"/>
      <x:c r="F7" s="2"/>
      <x:c r="G7" s="2" t="str">
        <x:v>Budget remaining</x:v>
      </x:c>
      <x:c r="H7" s="2"/>
      <x:c r="I7" s="2"/>
      <x:c r="J7" s="48" t="n">
        <x:f>J6-J5</x:f>
        <x:v>-5.620000000000001</x:v>
      </x:c>
      <x:c r="K7" s="2"/>
      <x:c r="L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 t="str">
        <x:v>Budget status</x:v>
      </x:c>
      <x:c r="B9" s="2"/>
      <x:c r="C9" s="2"/>
      <x:c r="D9" s="50" t="str">
        <x:f>IF(J5&lt;=J6,"Within budget","Over budget")</x:f>
        <x:v>Over budget</x:v>
      </x:c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37" t="str">
        <x:v>Cost by ingredient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44" customHeight="1">
      <x:c r="A32" s="9" t="str">
        <x:v>Ingredient</x:v>
      </x:c>
      <x:c r="B32" s="10" t="str">
        <x:v>Purchase cost (USD)</x:v>
      </x:c>
      <x:c r="C32" s="11" t="str">
        <x:v>Used cost (USD)</x:v>
      </x:c>
      <x:c r="D32" s="2"/>
      <x:c r="E32" s="2"/>
      <x:c r="F32" s="2"/>
      <x:c r="G32" s="22" t="str">
        <x:v>Used cost includes ingredients from stock.</x:v>
      </x:c>
      <x:c r="H32" s="2"/>
      <x:c r="I32" s="2"/>
      <x:c r="J32" s="2"/>
      <x:c r="K32" s="2"/>
      <x:c r="L32" s="2"/>
    </x:row>
    <x:row r="33" ht="24" customHeight="1">
      <x:c r="A33" s="2" t="str">
        <x:f>'ShoppingList'!A7</x:f>
        <x:v>Spaghetti (dry)</x:v>
      </x:c>
      <x:c r="B33" s="14" t="n">
        <x:f>'ShoppingList'!H7</x:f>
        <x:v>2.5</x:v>
      </x:c>
      <x:c r="C33" s="14" t="n">
        <x:f>'ShoppingList'!J7</x:f>
        <x:v>3</x:v>
      </x:c>
      <x:c r="D33" s="2"/>
      <x:c r="E33" s="2"/>
      <x:c r="F33" s="2"/>
      <x:c r="G33" s="22" t="str">
        <x:v>Purchase cost buys whole packages.</x:v>
      </x:c>
      <x:c r="H33" s="2"/>
      <x:c r="I33" s="2"/>
      <x:c r="J33" s="2"/>
      <x:c r="K33" s="2"/>
      <x:c r="L33" s="2"/>
    </x:row>
    <x:row r="34" ht="24" customHeight="1">
      <x:c r="A34" s="2" t="str">
        <x:f>'ShoppingList'!A8</x:f>
        <x:v>Guanciale</x:v>
      </x:c>
      <x:c r="B34" s="14" t="n">
        <x:f>'ShoppingList'!H8</x:f>
        <x:v>12</x:v>
      </x:c>
      <x:c r="C34" s="14" t="n">
        <x:f>'ShoppingList'!J8</x:f>
        <x:v>9.6</x:v>
      </x:c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 t="str">
        <x:f>'ShoppingList'!A9</x:f>
        <x:v>Egg yolks</x:v>
      </x:c>
      <x:c r="B35" s="14" t="n">
        <x:f>'ShoppingList'!H9</x:f>
        <x:v>1.62</x:v>
      </x:c>
      <x:c r="C35" s="14" t="n">
        <x:f>'ShoppingList'!J9</x:f>
        <x:v>1.62</x:v>
      </x:c>
      <x:c r="D35" s="2"/>
      <x:c r="E35" s="2"/>
      <x:c r="F35" s="2"/>
      <x:c r="G35" s="22" t="str">
        <x:v>Change servings and budget on Setup.</x:v>
      </x:c>
      <x:c r="H35" s="2"/>
      <x:c r="I35" s="2"/>
      <x:c r="J35" s="2"/>
      <x:c r="K35" s="2"/>
      <x:c r="L35" s="2"/>
    </x:row>
    <x:row r="36" ht="24" customHeight="1">
      <x:c r="A36" s="2" t="str">
        <x:f>'ShoppingList'!A10</x:f>
        <x:v>Pecorino Romano</x:v>
      </x:c>
      <x:c r="B36" s="14" t="n">
        <x:f>'ShoppingList'!H10</x:f>
        <x:v>7</x:v>
      </x:c>
      <x:c r="C36" s="14" t="n">
        <x:f>'ShoppingList'!J10</x:f>
        <x:v>4.2</x:v>
      </x:c>
      <x:c r="D36" s="2"/>
      <x:c r="E36" s="2"/>
      <x:c r="F36" s="2"/>
      <x:c r="G36" s="22" t="str">
        <x:v>Edit stock, sizes and prices on Ingredients.</x:v>
      </x:c>
      <x:c r="H36" s="2"/>
      <x:c r="I36" s="2"/>
      <x:c r="J36" s="2"/>
      <x:c r="K36" s="2"/>
      <x:c r="L36" s="2"/>
    </x:row>
    <x:row r="37" ht="24" customHeight="1">
      <x:c r="A37" s="2" t="str">
        <x:f>'ShoppingList'!A11</x:f>
        <x:v>Black pepper</x:v>
      </x:c>
      <x:c r="B37" s="14" t="n">
        <x:f>'ShoppingList'!H11</x:f>
        <x:v>2.5</x:v>
      </x:c>
      <x:c r="C37" s="14" t="n">
        <x:f>'ShoppingList'!J11</x:f>
        <x:v>0.15</x:v>
      </x:c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</x:sheetData>
  <x:conditionalFormatting sqref="J5:J5">
    <x:cfRule type="expression" dxfId="2" priority="1">
      <x:formula>$J$5&gt;$J$6</x:formula>
    </x:cfRule>
  </x:conditionalFormatting>
  <x:conditionalFormatting sqref="J7:J7">
    <x:cfRule type="cellIs" dxfId="3" priority="2" operator="lessThan">
      <x:formula>0</x:formula>
    </x:cfRule>
  </x:conditionalFormatting>
  <x:conditionalFormatting sqref="D9:D9">
    <x:cfRule type="expression" dxfId="4" priority="3">
      <x:formula>$J$5&gt;$J$6</x:formula>
    </x:cfRule>
  </x:conditionalFormatting>
  <x:conditionalFormatting sqref="A33:C37">
    <x:cfRule type="expression" dxfId="5" priority="4">
      <x:formula>$B33&gt;0</x:formula>
    </x:cfRule>
  </x:conditionalFormatting>
  <x:pageMargins left="0.7" right="0.7" top="0.75" bottom="0.75" header="0.3" footer="0.3"/>
  <x:drawing xmlns:r="http://schemas.openxmlformats.org/officeDocument/2006/relationships" r:id="Raca02f1af5984683"/>
</x:worksheet>
</file>