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0b0abb627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5a6b42b3f7bd4b6f"/>
    <x:sheet xmlns:r="http://schemas.openxmlformats.org/officeDocument/2006/relationships" name="Ingredients" sheetId="2" r:id="R4f361ba9da12463d"/>
    <x:sheet xmlns:r="http://schemas.openxmlformats.org/officeDocument/2006/relationships" name="ShoppingList" sheetId="3" r:id="R136aa7dd23004809"/>
    <x:sheet xmlns:r="http://schemas.openxmlformats.org/officeDocument/2006/relationships" name="Dashboard" sheetId="4" r:id="R31662f4a6d10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&quot;$&quot;#,##0.00;[Red]-&quot;$&quot;#,##0.00;&quot;$&quot;0.00"/>
    <x:numFmt numFmtId="202" formatCode="#,##0"/>
    <x:numFmt numFmtId="203" formatCode="#,##0.0"/>
  </x:numFmts>
  <x:fonts count="9">
    <x:font>
      <x:sz val="11"/>
      <x:name val="Carlito"/>
    </x:font>
    <x:font>
      <x:sz val="10"/>
      <x:color rgb="FF273449"/>
      <x:name val="Arial"/>
    </x:font>
    <x:font>
      <x:b/>
      <x:sz val="16"/>
      <x:color rgb="FF324867"/>
      <x:name val="Arial"/>
    </x:font>
    <x:font>
      <x:b/>
      <x:sz val="10"/>
      <x:color rgb="FFFFFFFF"/>
      <x:name val="Arial"/>
    </x:font>
    <x:font>
      <x:b/>
      <x:sz val="10"/>
      <x:color rgb="FF2451A0"/>
      <x:name val="Arial"/>
    </x:font>
    <x:font>
      <x:sz val="10"/>
      <x:color rgb="FF2451A0"/>
      <x:name val="Arial"/>
    </x:font>
    <x:font>
      <x:i/>
      <x:sz val="10"/>
      <x:color rgb="FF273449"/>
      <x:name val="Arial"/>
    </x:font>
    <x:font>
      <x:sz val="10"/>
      <x:color rgb="FF28704C"/>
      <x:name val="Arial"/>
    </x:font>
    <x:font>
      <x:b/>
      <x:sz val="10"/>
      <x:color rgb="FF27344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24867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</x:fills>
  <x:borders count="6">
    <x:border/>
    <x:border>
      <x:bottom style="thin">
        <x:color rgb="FFD9E0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9E0E8"/>
      </x:top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horizontal="right" vertical="center"/>
    </x:xf>
    <x:xf numFmtId="201" fontId="4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horizontal="right" vertical="center"/>
    </x:xf>
    <x:xf numFmtId="201" fontId="5" fillId="3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8" fillId="4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8" fillId="4" borderId="5" xfId="0" applyNumberFormat="1" applyFont="1" applyFill="1" applyBorder="1" applyAlignment="1">
      <x:alignment horizontal="right" vertical="center"/>
    </x:xf>
    <x:xf numFmtId="201" fontId="8" fillId="4" borderId="5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ill>
        <x:patternFill patternType="solid">
          <x:bgColor rgb="FFEAF2F8"/>
        </x:patternFill>
      </x:fill>
    </x:dxf>
    <x:dxf>
      <x:font>
        <x:b/>
        <x:color rgb="FF9C2830"/>
      </x:font>
      <x:fill>
        <x:patternFill patternType="solid">
          <x:bgColor rgb="FFFCE5E7"/>
        </x:patternFill>
      </x:fill>
    </x:dxf>
    <x:dxf>
      <x:font>
        <x:b/>
        <x:color rgb="FF9C2830"/>
      </x:font>
      <x:fill>
        <x:patternFill patternType="solid">
          <x:bgColor rgb="FFFCE5E7"/>
        </x:patternFill>
      </x:fill>
    </x:dxf>
    <x:dxf>
      <x:font>
        <x:b/>
        <x:color rgb="FF9C2830"/>
      </x:font>
      <x:fill>
        <x:patternFill patternType="solid">
          <x:bgColor rgb="FFFCE5E7"/>
        </x:patternFill>
      </x:fill>
    </x:dxf>
    <x:dxf>
      <x:fill>
        <x:patternFill patternType="solid"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2f6d3fed44ada" /><Relationship Type="http://schemas.openxmlformats.org/officeDocument/2006/relationships/theme" Target="/xl/theme/theme1.xml" Id="R23c66c39a41f4e07" /><Relationship Type="http://schemas.openxmlformats.org/officeDocument/2006/relationships/sharedStrings" Target="/xl/sharedStrings.xml" Id="R0d74a0dc2edc4ccd" /><Relationship Type="http://schemas.openxmlformats.org/officeDocument/2006/relationships/worksheet" Target="/xl/worksheets/sheet1.xml" Id="R5a6b42b3f7bd4b6f" /><Relationship Type="http://schemas.openxmlformats.org/officeDocument/2006/relationships/worksheet" Target="/xl/worksheets/sheet2.xml" Id="R4f361ba9da12463d" /><Relationship Type="http://schemas.openxmlformats.org/officeDocument/2006/relationships/worksheet" Target="/xl/worksheets/sheet3.xml" Id="R136aa7dd23004809" /><Relationship Type="http://schemas.openxmlformats.org/officeDocument/2006/relationships/worksheet" Target="/xl/worksheets/sheet4.xml" Id="R31662f4a6d104b7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0d7e872c1f74d23" /><Relationship Type="http://schemas.openxmlformats.org/officeDocument/2006/relationships/chart" Target="/xl/drawings/charts/chart2.xml" Id="R7c30b97799db48b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324867"/>
            </a:solidFill>
          </c:spPr>
          <c:cat>
            <c:strRef>
              <c:f>'Dashboard'!$F$6:$F$10</c:f>
              <c:strCache>
                <c:ptCount val="0"/>
              </c:strCache>
            </c:strRef>
          </c:cat>
          <c:val>
            <c:numRef>
              <c:f>'Dashboard'!$G$6:$G$10</c:f>
              <c:numCache>
                <c:formatCode>"$"#,##0.00;[Red]-"$"#,##0.00;"$"0.00</c:formatCode>
                <c:ptCount val="0"/>
              </c:numCache>
            </c:numRef>
          </c:val>
        </c:ser>
        <c:gapWidth val="9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 cost (USD)</c:v>
          </c:tx>
          <c:cat>
            <c:strRef>
              <c:f>'Dashboard'!$F$6:$F$10</c:f>
              <c:strCache>
                <c:ptCount val="0"/>
              </c:strCache>
            </c:strRef>
          </c:cat>
          <c:val>
            <c:numRef>
              <c:f>'Dashboard'!$H$6:$H$10</c:f>
              <c:numCache>
                <c:formatCode>"$"#,##0.00;[Red]-"$"#,##0.00;"$"0.00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d7e872c1f74d23"/>
        </a:graphicData>
      </a:graphic>
    </xdr:graphicFrame>
    <xdr:clientData/>
  </xdr:twoCellAnchor>
  <xdr:twoCellAnchor>
    <xdr:from>
      <xdr:col>5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30b97799db48b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rbonaraIngredients" displayName="CarbonaraIngredients" ref="A6:G11" headerRowCount="1" totalsRowCount="0" totalsRowShown="0">
  <x:autoFilter ref="A6:G11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8092f56ff3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7bd3d0a81334e7a" /></Relationships>
</file>

<file path=xl/worksheets/sheet1.xml><?xml version="1.0" encoding="utf-8"?>
<x:worksheet xmlns:x="http://schemas.openxmlformats.org/spreadsheetml/2006/main">
  <x:sheetPr>
    <x:tabColor rgb="FF637B9D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34" hidden="0" customWidth="1"/>
    <x:col min="4" max="4" width="5" hidden="0" customWidth="1"/>
  </x:cols>
  <x:sheetData>
    <x:row r="1" ht="23" customHeight="1">
      <x:c r="A1" s="2"/>
      <x:c r="B1" s="2"/>
      <x:c r="C1" s="2"/>
      <x:c r="D1" s="2"/>
    </x:row>
    <x:row r="2" ht="29" customHeight="1">
      <x:c r="A2" s="4" t="str">
        <x:v>Carbonara meal setup</x:v>
      </x:c>
      <x:c r="B2" s="5"/>
      <x:c r="C2" s="5"/>
      <x:c r="D2" s="2"/>
    </x:row>
    <x:row r="3" ht="23" customHeight="1">
      <x:c r="A3" s="2"/>
      <x:c r="B3" s="2"/>
      <x:c r="C3" s="2"/>
      <x:c r="D3" s="2"/>
    </x:row>
    <x:row r="4" ht="38" customHeight="1">
      <x:c r="A4" s="10" t="str">
        <x:v>Setting</x:v>
      </x:c>
      <x:c r="B4" s="11" t="str">
        <x:v>Value</x:v>
      </x:c>
      <x:c r="C4" s="12" t="str">
        <x:v>Input rule</x:v>
      </x:c>
      <x:c r="D4" s="2"/>
    </x:row>
    <x:row r="5" ht="23" customHeight="1">
      <x:c r="A5" s="2" t="str">
        <x:v>Base recipe servings</x:v>
      </x:c>
      <x:c r="B5" s="20" t="n">
        <x:v>2</x:v>
      </x:c>
      <x:c r="C5" s="2" t="str">
        <x:v>Recipe quantities are for 2 servings</x:v>
      </x:c>
      <x:c r="D5" s="2"/>
    </x:row>
    <x:row r="6" ht="23" customHeight="1">
      <x:c r="A6" s="2" t="str">
        <x:v>Desired servings</x:v>
      </x:c>
      <x:c r="B6" s="21" t="n">
        <x:v>6</x:v>
      </x:c>
      <x:c r="C6" s="2" t="str">
        <x:v>Whole number from 1 through 20</x:v>
      </x:c>
      <x:c r="D6" s="2"/>
    </x:row>
    <x:row r="7" ht="23" customHeight="1">
      <x:c r="A7" s="2" t="str">
        <x:v>Shopping budget (USD)</x:v>
      </x:c>
      <x:c r="B7" s="22" t="n">
        <x:v>20</x:v>
      </x:c>
      <x:c r="C7" s="2" t="str">
        <x:v>Nonnegative amount in USD</x:v>
      </x:c>
      <x:c r="D7" s="2"/>
    </x:row>
    <x:row r="8" ht="23" customHeight="1">
      <x:c r="A8" s="2"/>
      <x:c r="B8" s="2"/>
      <x:c r="C8" s="2"/>
      <x:c r="D8" s="2"/>
    </x:row>
    <x:row r="9" ht="23" customHeight="1">
      <x:c r="A9" s="2"/>
      <x:c r="B9" s="2"/>
      <x:c r="C9" s="2"/>
      <x:c r="D9" s="2"/>
    </x:row>
    <x:row r="10" ht="23" customHeight="1">
      <x:c r="A10" s="23" t="str">
        <x:v>Yellow cells are editable inputs. Ingredient inputs are on Ingredients.</x:v>
      </x:c>
      <x:c r="B10" s="2"/>
      <x:c r="C10" s="2"/>
      <x:c r="D10" s="2"/>
    </x:row>
    <x:row r="11" ht="23" customHeight="1">
      <x:c r="A11" s="23" t="str">
        <x:v>Purchase cost includes whole packages. Used cost values only the amount cooked.</x:v>
      </x:c>
      <x:c r="B11" s="2"/>
      <x:c r="C11" s="2"/>
      <x:c r="D11" s="2"/>
    </x:row>
    <x:row r="12" ht="23" customHeight="1">
      <x:c r="A12" s="2"/>
      <x:c r="B12" s="2"/>
      <x:c r="C12" s="2"/>
      <x:c r="D12" s="2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budget in USD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B6C9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8" hidden="0" customWidth="1"/>
    <x:col min="4" max="4" width="18" hidden="0" customWidth="1"/>
    <x:col min="5" max="5" width="20" hidden="0" customWidth="1"/>
    <x:col min="6" max="6" width="21" hidden="0" customWidth="1"/>
    <x:col min="7" max="7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9" customHeight="1">
      <x:c r="A2" s="4" t="str">
        <x:v>Carbonara ingredients</x:v>
      </x:c>
      <x:c r="B2" s="5"/>
      <x:c r="C2" s="5"/>
      <x:c r="D2" s="5"/>
      <x:c r="E2" s="5"/>
      <x:c r="F2" s="5"/>
      <x:c r="G2" s="5"/>
    </x:row>
    <x:row r="3" ht="23" customHeight="1">
      <x:c r="A3" s="23" t="str">
        <x:v>Source: fixed illustrative data supplied for this meal. All quantities and package sizes are in grams.</x:v>
      </x:c>
      <x:c r="B3" s="2"/>
      <x:c r="C3" s="2"/>
      <x:c r="D3" s="2"/>
      <x:c r="E3" s="2"/>
      <x:c r="F3" s="2"/>
      <x:c r="G3" s="2"/>
    </x:row>
    <x:row r="4" ht="23" customHeight="1">
      <x:c r="A4" s="23" t="str">
        <x:v>Egg yolks are weighed without shells or egg whites. Yellow cells are editable recipe and purchasing inputs.</x:v>
      </x:c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38" customHeight="1">
      <x:c r="A6" s="10" t="str">
        <x:v>Ingredient</x:v>
      </x:c>
      <x:c r="B6" s="11" t="str">
        <x:v>Base quantity for 2 servings (g)</x:v>
      </x:c>
      <x:c r="C6" s="11" t="str">
        <x:v>Stock available (g)</x:v>
      </x:c>
      <x:c r="D6" s="11" t="str">
        <x:v>Package size (g)</x:v>
      </x:c>
      <x:c r="E6" s="11" t="str">
        <x:v>Package price (USD)</x:v>
      </x:c>
      <x:c r="F6" s="11" t="str">
        <x:v>Required quantity (g)</x:v>
      </x:c>
      <x:c r="G6" s="12" t="str">
        <x:v>Used-ingredient cost (USD)</x:v>
      </x:c>
    </x:row>
    <x:row r="7" ht="23" customHeight="1">
      <x:c r="A7" s="2" t="str">
        <x:v>Spaghetti (dry)</x:v>
      </x:c>
      <x:c r="B7" s="30" t="n">
        <x:v>200</x:v>
      </x:c>
      <x:c r="C7" s="30" t="n">
        <x:v>100</x:v>
      </x:c>
      <x:c r="D7" s="30" t="n">
        <x:v>500</x:v>
      </x:c>
      <x:c r="E7" s="31" t="n">
        <x:v>2.5</x:v>
      </x:c>
      <x:c r="F7" s="32" t="n">
        <x:f>B7*'Setup'!$B$6/'Setup'!$B$5</x:f>
        <x:v>600</x:v>
      </x:c>
      <x:c r="G7" s="33" t="n">
        <x:f>F7/D7*E7</x:f>
        <x:v>3</x:v>
      </x:c>
    </x:row>
    <x:row r="8" ht="23" customHeight="1">
      <x:c r="A8" s="2" t="str">
        <x:v>Guanciale</x:v>
      </x:c>
      <x:c r="B8" s="30" t="n">
        <x:v>80</x:v>
      </x:c>
      <x:c r="C8" s="30" t="n">
        <x:v>20</x:v>
      </x:c>
      <x:c r="D8" s="30" t="n">
        <x:v>100</x:v>
      </x:c>
      <x:c r="E8" s="31" t="n">
        <x:v>4</x:v>
      </x:c>
      <x:c r="F8" s="32" t="n">
        <x:f>B8*'Setup'!$B$6/'Setup'!$B$5</x:f>
        <x:v>240</x:v>
      </x:c>
      <x:c r="G8" s="33" t="n">
        <x:f>F8/D8*E8</x:f>
        <x:v>9.6</x:v>
      </x:c>
    </x:row>
    <x:row r="9" ht="23" customHeight="1">
      <x:c r="A9" s="2" t="str">
        <x:v>Egg yolks</x:v>
      </x:c>
      <x:c r="B9" s="30" t="n">
        <x:v>36</x:v>
      </x:c>
      <x:c r="C9" s="30" t="n">
        <x:v>0</x:v>
      </x:c>
      <x:c r="D9" s="30" t="n">
        <x:v>36</x:v>
      </x:c>
      <x:c r="E9" s="31" t="n">
        <x:v>0.54</x:v>
      </x:c>
      <x:c r="F9" s="32" t="n">
        <x:f>B9*'Setup'!$B$6/'Setup'!$B$5</x:f>
        <x:v>108</x:v>
      </x:c>
      <x:c r="G9" s="33" t="n">
        <x:f>F9/D9*E9</x:f>
        <x:v>1.62</x:v>
      </x:c>
    </x:row>
    <x:row r="10" ht="23" customHeight="1">
      <x:c r="A10" s="2" t="str">
        <x:v>Pecorino Romano</x:v>
      </x:c>
      <x:c r="B10" s="30" t="n">
        <x:v>40</x:v>
      </x:c>
      <x:c r="C10" s="30" t="n">
        <x:v>10</x:v>
      </x:c>
      <x:c r="D10" s="30" t="n">
        <x:v>100</x:v>
      </x:c>
      <x:c r="E10" s="31" t="n">
        <x:v>3.5</x:v>
      </x:c>
      <x:c r="F10" s="32" t="n">
        <x:f>B10*'Setup'!$B$6/'Setup'!$B$5</x:f>
        <x:v>120</x:v>
      </x:c>
      <x:c r="G10" s="33" t="n">
        <x:f>F10/D10*E10</x:f>
        <x:v>4.2</x:v>
      </x:c>
    </x:row>
    <x:row r="11" ht="23" customHeight="1">
      <x:c r="A11" s="2" t="str">
        <x:v>Black pepper</x:v>
      </x:c>
      <x:c r="B11" s="30" t="n">
        <x:v>1</x:v>
      </x:c>
      <x:c r="C11" s="30" t="n">
        <x:v>2</x:v>
      </x:c>
      <x:c r="D11" s="30" t="n">
        <x:v>50</x:v>
      </x:c>
      <x:c r="E11" s="31" t="n">
        <x:v>2.5</x:v>
      </x:c>
      <x:c r="F11" s="32" t="n">
        <x:f>B11*'Setup'!$B$6/'Setup'!$B$5</x:f>
        <x:v>3</x:v>
      </x:c>
      <x:c r="G11" s="33" t="n">
        <x:f>F11/D11*E11</x:f>
        <x:v>0.15</x:v>
      </x:c>
    </x:row>
    <x:row r="12" ht="23" customHeight="1">
      <x:c r="A12" s="2"/>
      <x:c r="B12" s="2"/>
      <x:c r="C12" s="2"/>
      <x:c r="D12" s="2"/>
      <x:c r="E12" s="2"/>
      <x:c r="F12" s="2"/>
      <x:c r="G12" s="2"/>
    </x:row>
    <x:row r="13" ht="23" customHeight="1">
      <x:c r="A13" s="2"/>
      <x:c r="B13" s="2"/>
      <x:c r="C13" s="2"/>
      <x:c r="D13" s="2"/>
      <x:c r="E13" s="2"/>
      <x:c r="F13" s="2"/>
      <x:c r="G13" s="2"/>
    </x:row>
  </x:sheetData>
  <x:pageMargins left="0.7" right="0.7" top="0.75" bottom="0.75" header="0.3" footer="0.3"/>
  <x:tableParts count="1">
    <x:tablePart xmlns:r="http://schemas.openxmlformats.org/officeDocument/2006/relationships" r:id="R618092f56ff342ba"/>
  </x:tableParts>
</x:worksheet>
</file>

<file path=xl/worksheets/sheet3.xml><?xml version="1.0" encoding="utf-8"?>
<x:worksheet xmlns:x="http://schemas.openxmlformats.org/spreadsheetml/2006/main">
  <x:sheetPr>
    <x:tabColor rgb="FF8293AB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8" hidden="0" customWidth="1"/>
    <x:col min="4" max="4" width="19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2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Carbonara shopping list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 t="str">
        <x:v>Desired servings</x:v>
      </x:c>
      <x:c r="B4" s="26" t="n">
        <x:f>'Setup'!B6</x:f>
        <x:v>6</x:v>
      </x:c>
      <x:c r="C4" s="2"/>
      <x:c r="D4" s="2" t="str">
        <x:v>Budget (USD)</x:v>
      </x:c>
      <x:c r="E4" s="34" t="n">
        <x:f>'Setup'!B7</x:f>
        <x:v>20</x:v>
      </x:c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8" customHeight="1">
      <x:c r="A6" s="10" t="str">
        <x:v>Ingredient</x:v>
      </x:c>
      <x:c r="B6" s="11" t="str">
        <x:v>Required quantity (g)</x:v>
      </x:c>
      <x:c r="C6" s="11" t="str">
        <x:v>Stock available (g)</x:v>
      </x:c>
      <x:c r="D6" s="11" t="str">
        <x:v>Additional needed (g)</x:v>
      </x:c>
      <x:c r="E6" s="11" t="str">
        <x:v>Package size (g)</x:v>
      </x:c>
      <x:c r="F6" s="11" t="str">
        <x:v>Package price (USD)</x:v>
      </x:c>
      <x:c r="G6" s="11" t="str">
        <x:v>Whole packages to buy</x:v>
      </x:c>
      <x:c r="H6" s="11" t="str">
        <x:v>Purchase cost (USD)</x:v>
      </x:c>
      <x:c r="I6" s="11" t="str">
        <x:v>Stock after cooking (g)</x:v>
      </x:c>
      <x:c r="J6" s="12" t="str">
        <x:v>Used-ingredient cost (USD)</x:v>
      </x:c>
    </x:row>
    <x:row r="7" ht="23" customHeight="1">
      <x:c r="A7" s="26" t="str">
        <x:f>'Ingredients'!A7</x:f>
        <x:v>Spaghetti (dry)</x:v>
      </x:c>
      <x:c r="B7" s="32" t="n">
        <x:f>'Ingredients'!F7</x:f>
        <x:v>600</x:v>
      </x:c>
      <x:c r="C7" s="32" t="n">
        <x:f>'Ingredients'!C7</x:f>
        <x:v>100</x:v>
      </x:c>
      <x:c r="D7" s="40" t="n">
        <x:f>MAX(B7-C7,0)</x:f>
        <x:v>500</x:v>
      </x:c>
      <x:c r="E7" s="32" t="n">
        <x:f>'Ingredients'!D7</x:f>
        <x:v>500</x:v>
      </x:c>
      <x:c r="F7" s="44" t="n">
        <x:f>'Ingredients'!E7</x:f>
        <x:v>2.5</x:v>
      </x:c>
      <x:c r="G7" s="41" t="n">
        <x:f>ROUNDUP(D7/E7,0)</x:f>
        <x:v>1</x:v>
      </x:c>
      <x:c r="H7" s="33" t="n">
        <x:f>G7*F7</x:f>
        <x:v>2.5</x:v>
      </x:c>
      <x:c r="I7" s="40" t="n">
        <x:f>C7+G7*E7-B7</x:f>
        <x:v>0</x:v>
      </x:c>
      <x:c r="J7" s="44" t="n">
        <x:f>'Ingredients'!G7</x:f>
        <x:v>3</x:v>
      </x:c>
    </x:row>
    <x:row r="8" ht="23" customHeight="1">
      <x:c r="A8" s="26" t="str">
        <x:f>'Ingredients'!A8</x:f>
        <x:v>Guanciale</x:v>
      </x:c>
      <x:c r="B8" s="32" t="n">
        <x:f>'Ingredients'!F8</x:f>
        <x:v>240</x:v>
      </x:c>
      <x:c r="C8" s="32" t="n">
        <x:f>'Ingredients'!C8</x:f>
        <x:v>20</x:v>
      </x:c>
      <x:c r="D8" s="40" t="n">
        <x:f>MAX(B8-C8,0)</x:f>
        <x:v>220</x:v>
      </x:c>
      <x:c r="E8" s="32" t="n">
        <x:f>'Ingredients'!D8</x:f>
        <x:v>100</x:v>
      </x:c>
      <x:c r="F8" s="44" t="n">
        <x:f>'Ingredients'!E8</x:f>
        <x:v>4</x:v>
      </x:c>
      <x:c r="G8" s="41" t="n">
        <x:f>ROUNDUP(D8/E8,0)</x:f>
        <x:v>3</x:v>
      </x:c>
      <x:c r="H8" s="33" t="n">
        <x:f>G8*F8</x:f>
        <x:v>12</x:v>
      </x:c>
      <x:c r="I8" s="40" t="n">
        <x:f>C8+G8*E8-B8</x:f>
        <x:v>80</x:v>
      </x:c>
      <x:c r="J8" s="44" t="n">
        <x:f>'Ingredients'!G8</x:f>
        <x:v>9.6</x:v>
      </x:c>
    </x:row>
    <x:row r="9" ht="23" customHeight="1">
      <x:c r="A9" s="26" t="str">
        <x:f>'Ingredients'!A9</x:f>
        <x:v>Egg yolks</x:v>
      </x:c>
      <x:c r="B9" s="32" t="n">
        <x:f>'Ingredients'!F9</x:f>
        <x:v>108</x:v>
      </x:c>
      <x:c r="C9" s="32" t="n">
        <x:f>'Ingredients'!C9</x:f>
        <x:v>0</x:v>
      </x:c>
      <x:c r="D9" s="40" t="n">
        <x:f>MAX(B9-C9,0)</x:f>
        <x:v>108</x:v>
      </x:c>
      <x:c r="E9" s="32" t="n">
        <x:f>'Ingredients'!D9</x:f>
        <x:v>36</x:v>
      </x:c>
      <x:c r="F9" s="44" t="n">
        <x:f>'Ingredients'!E9</x:f>
        <x:v>0.54</x:v>
      </x:c>
      <x:c r="G9" s="41" t="n">
        <x:f>ROUNDUP(D9/E9,0)</x:f>
        <x:v>3</x:v>
      </x:c>
      <x:c r="H9" s="33" t="n">
        <x:f>G9*F9</x:f>
        <x:v>1.62</x:v>
      </x:c>
      <x:c r="I9" s="40" t="n">
        <x:f>C9+G9*E9-B9</x:f>
        <x:v>0</x:v>
      </x:c>
      <x:c r="J9" s="44" t="n">
        <x:f>'Ingredients'!G9</x:f>
        <x:v>1.62</x:v>
      </x:c>
    </x:row>
    <x:row r="10" ht="23" customHeight="1">
      <x:c r="A10" s="26" t="str">
        <x:f>'Ingredients'!A10</x:f>
        <x:v>Pecorino Romano</x:v>
      </x:c>
      <x:c r="B10" s="32" t="n">
        <x:f>'Ingredients'!F10</x:f>
        <x:v>120</x:v>
      </x:c>
      <x:c r="C10" s="32" t="n">
        <x:f>'Ingredients'!C10</x:f>
        <x:v>10</x:v>
      </x:c>
      <x:c r="D10" s="40" t="n">
        <x:f>MAX(B10-C10,0)</x:f>
        <x:v>110</x:v>
      </x:c>
      <x:c r="E10" s="32" t="n">
        <x:f>'Ingredients'!D10</x:f>
        <x:v>100</x:v>
      </x:c>
      <x:c r="F10" s="44" t="n">
        <x:f>'Ingredients'!E10</x:f>
        <x:v>3.5</x:v>
      </x:c>
      <x:c r="G10" s="41" t="n">
        <x:f>ROUNDUP(D10/E10,0)</x:f>
        <x:v>2</x:v>
      </x:c>
      <x:c r="H10" s="33" t="n">
        <x:f>G10*F10</x:f>
        <x:v>7</x:v>
      </x:c>
      <x:c r="I10" s="40" t="n">
        <x:f>C10+G10*E10-B10</x:f>
        <x:v>90</x:v>
      </x:c>
      <x:c r="J10" s="44" t="n">
        <x:f>'Ingredients'!G10</x:f>
        <x:v>4.2</x:v>
      </x:c>
    </x:row>
    <x:row r="11" ht="23" customHeight="1">
      <x:c r="A11" s="26" t="str">
        <x:f>'Ingredients'!A11</x:f>
        <x:v>Black pepper</x:v>
      </x:c>
      <x:c r="B11" s="32" t="n">
        <x:f>'Ingredients'!F11</x:f>
        <x:v>3</x:v>
      </x:c>
      <x:c r="C11" s="32" t="n">
        <x:f>'Ingredients'!C11</x:f>
        <x:v>2</x:v>
      </x:c>
      <x:c r="D11" s="40" t="n">
        <x:f>MAX(B11-C11,0)</x:f>
        <x:v>1</x:v>
      </x:c>
      <x:c r="E11" s="32" t="n">
        <x:f>'Ingredients'!D11</x:f>
        <x:v>50</x:v>
      </x:c>
      <x:c r="F11" s="44" t="n">
        <x:f>'Ingredients'!E11</x:f>
        <x:v>2.5</x:v>
      </x:c>
      <x:c r="G11" s="41" t="n">
        <x:f>ROUNDUP(D11/E11,0)</x:f>
        <x:v>1</x:v>
      </x:c>
      <x:c r="H11" s="33" t="n">
        <x:f>G11*F11</x:f>
        <x:v>2.5</x:v>
      </x:c>
      <x:c r="I11" s="40" t="n">
        <x:f>C11+G11*E11-B11</x:f>
        <x:v>49</x:v>
      </x:c>
      <x:c r="J11" s="44" t="n">
        <x:f>'Ingredients'!G11</x:f>
        <x:v>0.15</x:v>
      </x:c>
    </x:row>
    <x:row r="12" ht="23" customHeight="1">
      <x:c r="A12" s="37" t="str">
        <x:v>Total (USD)</x:v>
      </x:c>
      <x:c r="B12" s="42"/>
      <x:c r="C12" s="42"/>
      <x:c r="D12" s="42"/>
      <x:c r="E12" s="42"/>
      <x:c r="F12" s="42"/>
      <x:c r="G12" s="42"/>
      <x:c r="H12" s="43" t="n">
        <x:f>SUM(H7:H11)</x:f>
        <x:v>25.62</x:v>
      </x:c>
      <x:c r="I12" s="42"/>
      <x:c r="J12" s="43" t="n">
        <x:f>SUM(J7:J11)</x:f>
        <x:v>18.569999999999997</x:v>
      </x:c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</x:sheetData>
  <x:conditionalFormatting sqref="A7:J11">
    <x:cfRule type="expression" dxfId="0" priority="1">
      <x:formula>$G7&gt;0</x:formula>
    </x:cfRule>
  </x:conditionalFormatting>
  <x:conditionalFormatting sqref="H12:H12">
    <x:cfRule type="cellIs" dxfId="1" priority="2" operator="greaterThan">
      <x:formula>$E$4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324867"/>
  </x:sheetPr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7" hidden="0" customWidth="1"/>
    <x:col min="4" max="4" width="22" hidden="0" customWidth="1"/>
    <x:col min="5" max="5" width="3" hidden="0" customWidth="1"/>
    <x:col min="6" max="6" width="23" hidden="0" customWidth="1"/>
    <x:col min="7" max="7" width="19" hidden="0" customWidth="1"/>
    <x:col min="8" max="8" width="20" hidden="0" customWidth="1"/>
    <x:col min="9" max="9" width="12" hidden="0" customWidth="1"/>
    <x:col min="10" max="10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9" customHeight="1">
      <x:c r="A2" s="4" t="str">
        <x:v>Carbonara cost dashboard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38" customHeight="1">
      <x:c r="A4" s="10" t="str">
        <x:v>Metric</x:v>
      </x:c>
      <x:c r="B4" s="12" t="str">
        <x:v>Value</x:v>
      </x:c>
      <x:c r="C4" s="2"/>
      <x:c r="D4" s="2"/>
      <x:c r="E4" s="2"/>
      <x:c r="F4" s="2"/>
      <x:c r="G4" s="2"/>
      <x:c r="H4" s="2"/>
      <x:c r="I4" s="2"/>
      <x:c r="J4" s="2"/>
    </x:row>
    <x:row r="5" ht="38" customHeight="1">
      <x:c r="A5" s="2" t="str">
        <x:v>Desired servings</x:v>
      </x:c>
      <x:c r="B5" s="41" t="n">
        <x:f>'Setup'!B6</x:f>
        <x:v>6</x:v>
      </x:c>
      <x:c r="C5" s="2"/>
      <x:c r="D5" s="2"/>
      <x:c r="E5" s="2"/>
      <x:c r="F5" s="10" t="str">
        <x:v>Ingredient</x:v>
      </x:c>
      <x:c r="G5" s="11" t="str">
        <x:v>Purchase cost (USD)</x:v>
      </x:c>
      <x:c r="H5" s="12" t="str">
        <x:v>Used cost (USD)</x:v>
      </x:c>
      <x:c r="I5" s="2"/>
      <x:c r="J5" s="2"/>
    </x:row>
    <x:row r="6" ht="23" customHeight="1">
      <x:c r="A6" s="2" t="str">
        <x:v>Total used-ingredient cost</x:v>
      </x:c>
      <x:c r="B6" s="33" t="n">
        <x:f>'ShoppingList'!J12</x:f>
        <x:v>18.569999999999997</x:v>
      </x:c>
      <x:c r="C6" s="2"/>
      <x:c r="D6" s="2"/>
      <x:c r="E6" s="2"/>
      <x:c r="F6" s="2" t="str">
        <x:f>'ShoppingList'!A7</x:f>
        <x:v>Spaghetti (dry)</x:v>
      </x:c>
      <x:c r="G6" s="33" t="n">
        <x:f>'ShoppingList'!H7</x:f>
        <x:v>2.5</x:v>
      </x:c>
      <x:c r="H6" s="33" t="n">
        <x:f>'ShoppingList'!J7</x:f>
        <x:v>3</x:v>
      </x:c>
      <x:c r="I6" s="2"/>
      <x:c r="J6" s="2"/>
    </x:row>
    <x:row r="7" ht="23" customHeight="1">
      <x:c r="A7" s="2" t="str">
        <x:v>Used-ingredient cost per serving</x:v>
      </x:c>
      <x:c r="B7" s="33" t="n">
        <x:f>B6/B5</x:f>
        <x:v>3.0949999999999993</x:v>
      </x:c>
      <x:c r="C7" s="2"/>
      <x:c r="D7" s="2"/>
      <x:c r="E7" s="2"/>
      <x:c r="F7" s="2" t="str">
        <x:f>'ShoppingList'!A8</x:f>
        <x:v>Guanciale</x:v>
      </x:c>
      <x:c r="G7" s="33" t="n">
        <x:f>'ShoppingList'!H8</x:f>
        <x:v>12</x:v>
      </x:c>
      <x:c r="H7" s="33" t="n">
        <x:f>'ShoppingList'!J8</x:f>
        <x:v>9.6</x:v>
      </x:c>
      <x:c r="I7" s="2"/>
      <x:c r="J7" s="2"/>
    </x:row>
    <x:row r="8" ht="23" customHeight="1">
      <x:c r="A8" s="46" t="str">
        <x:v>Total purchase cost</x:v>
      </x:c>
      <x:c r="B8" s="47" t="n">
        <x:f>'ShoppingList'!H12</x:f>
        <x:v>25.62</x:v>
      </x:c>
      <x:c r="C8" s="2"/>
      <x:c r="D8" s="2"/>
      <x:c r="E8" s="2"/>
      <x:c r="F8" s="2" t="str">
        <x:f>'ShoppingList'!A9</x:f>
        <x:v>Egg yolks</x:v>
      </x:c>
      <x:c r="G8" s="33" t="n">
        <x:f>'ShoppingList'!H9</x:f>
        <x:v>1.62</x:v>
      </x:c>
      <x:c r="H8" s="33" t="n">
        <x:f>'ShoppingList'!J9</x:f>
        <x:v>1.62</x:v>
      </x:c>
      <x:c r="I8" s="2"/>
      <x:c r="J8" s="2"/>
    </x:row>
    <x:row r="9" ht="23" customHeight="1">
      <x:c r="A9" s="2" t="str">
        <x:v>Budget (USD)</x:v>
      </x:c>
      <x:c r="B9" s="33" t="n">
        <x:f>'Setup'!B7</x:f>
        <x:v>20</x:v>
      </x:c>
      <x:c r="C9" s="2"/>
      <x:c r="D9" s="2"/>
      <x:c r="E9" s="2"/>
      <x:c r="F9" s="2" t="str">
        <x:f>'ShoppingList'!A10</x:f>
        <x:v>Pecorino Romano</x:v>
      </x:c>
      <x:c r="G9" s="33" t="n">
        <x:f>'ShoppingList'!H10</x:f>
        <x:v>7</x:v>
      </x:c>
      <x:c r="H9" s="33" t="n">
        <x:f>'ShoppingList'!J10</x:f>
        <x:v>4.2</x:v>
      </x:c>
      <x:c r="I9" s="2"/>
      <x:c r="J9" s="2"/>
    </x:row>
    <x:row r="10" ht="23" customHeight="1">
      <x:c r="A10" s="46" t="str">
        <x:v>Budget remaining</x:v>
      </x:c>
      <x:c r="B10" s="47" t="n">
        <x:f>B9-B8</x:f>
        <x:v>-5.620000000000001</x:v>
      </x:c>
      <x:c r="C10" s="2"/>
      <x:c r="D10" s="2"/>
      <x:c r="E10" s="2"/>
      <x:c r="F10" s="2" t="str">
        <x:f>'ShoppingList'!A11</x:f>
        <x:v>Black pepper</x:v>
      </x:c>
      <x:c r="G10" s="33" t="n">
        <x:f>'ShoppingList'!H11</x:f>
        <x:v>2.5</x:v>
      </x:c>
      <x:c r="H10" s="33" t="n">
        <x:f>'ShoppingList'!J11</x:f>
        <x:v>0.15</x:v>
      </x:c>
      <x:c r="I10" s="2"/>
      <x:c r="J10" s="2"/>
    </x:row>
    <x:row r="11" ht="23" customHeight="1">
      <x:c r="A11" s="46" t="str">
        <x:v>Budget status</x:v>
      </x:c>
      <x:c r="B11" s="48" t="str">
        <x:f>IF(B8&lt;=B9,"Within budget","Over budget")</x:f>
        <x:v>Over budget</x:v>
      </x:c>
      <x:c r="C11" s="2"/>
      <x:c r="D11" s="2"/>
      <x:c r="E11" s="2"/>
      <x:c r="F11" s="2"/>
      <x:c r="G11" s="2"/>
      <x:c r="H11" s="2"/>
      <x:c r="I11" s="2"/>
      <x:c r="J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</x:sheetData>
  <x:conditionalFormatting sqref="A8:B8">
    <x:cfRule type="expression" dxfId="2" priority="1">
      <x:formula>$B$8&gt;$B$9</x:formula>
    </x:cfRule>
  </x:conditionalFormatting>
  <x:conditionalFormatting sqref="B10:B11">
    <x:cfRule type="expression" dxfId="3" priority="2">
      <x:formula>$B$8&gt;$B$9</x:formula>
    </x:cfRule>
  </x:conditionalFormatting>
  <x:conditionalFormatting sqref="F6:G10">
    <x:cfRule type="expression" dxfId="4" priority="3">
      <x:formula>$G6&gt;0</x:formula>
    </x:cfRule>
  </x:conditionalFormatting>
  <x:pageMargins left="0.7" right="0.7" top="0.75" bottom="0.75" header="0.3" footer="0.3"/>
  <x:drawing xmlns:r="http://schemas.openxmlformats.org/officeDocument/2006/relationships" r:id="R07bd3d0a81334e7a"/>
</x:worksheet>
</file>