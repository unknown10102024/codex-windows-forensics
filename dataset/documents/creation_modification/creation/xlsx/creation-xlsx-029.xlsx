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21-030_sol_6_1_ultra\Run_029\"/>
    </mc:Choice>
  </mc:AlternateContent>
  <xr:revisionPtr revIDLastSave="0" documentId="13_ncr:1_{94621D30-7782-47FC-9CAB-5BFBF0F0D615}" xr6:coauthVersionLast="47" xr6:coauthVersionMax="47" xr10:uidLastSave="{00000000-0000-0000-0000-000000000000}"/>
  <bookViews>
    <workbookView xWindow="-120" yWindow="-120" windowWidth="38610" windowHeight="18720" activeTab="3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4" l="1"/>
  <c r="B5" i="4"/>
  <c r="F10" i="3"/>
  <c r="E10" i="3"/>
  <c r="C10" i="3"/>
  <c r="A10" i="3"/>
  <c r="F9" i="4" s="1"/>
  <c r="F9" i="3"/>
  <c r="E9" i="3"/>
  <c r="C9" i="3"/>
  <c r="A9" i="3"/>
  <c r="F8" i="4" s="1"/>
  <c r="F8" i="3"/>
  <c r="E8" i="3"/>
  <c r="C8" i="3"/>
  <c r="B8" i="3"/>
  <c r="D8" i="3" s="1"/>
  <c r="G8" i="3" s="1"/>
  <c r="A8" i="3"/>
  <c r="F7" i="4" s="1"/>
  <c r="F7" i="3"/>
  <c r="E7" i="3"/>
  <c r="C7" i="3"/>
  <c r="A7" i="3"/>
  <c r="F6" i="4" s="1"/>
  <c r="F6" i="3"/>
  <c r="E6" i="3"/>
  <c r="C6" i="3"/>
  <c r="B6" i="3"/>
  <c r="D6" i="3" s="1"/>
  <c r="G6" i="3" s="1"/>
  <c r="A6" i="3"/>
  <c r="F5" i="4" s="1"/>
  <c r="F3" i="3"/>
  <c r="B3" i="3"/>
  <c r="G10" i="2"/>
  <c r="J10" i="3" s="1"/>
  <c r="H9" i="4" s="1"/>
  <c r="F10" i="2"/>
  <c r="B10" i="3" s="1"/>
  <c r="D10" i="3" s="1"/>
  <c r="G10" i="3" s="1"/>
  <c r="G9" i="2"/>
  <c r="J9" i="3" s="1"/>
  <c r="H8" i="4" s="1"/>
  <c r="F9" i="2"/>
  <c r="B9" i="3" s="1"/>
  <c r="D9" i="3" s="1"/>
  <c r="G9" i="3" s="1"/>
  <c r="G8" i="2"/>
  <c r="J8" i="3" s="1"/>
  <c r="H7" i="4" s="1"/>
  <c r="F8" i="2"/>
  <c r="G7" i="2"/>
  <c r="J7" i="3" s="1"/>
  <c r="H6" i="4" s="1"/>
  <c r="F7" i="2"/>
  <c r="B7" i="3" s="1"/>
  <c r="D7" i="3" s="1"/>
  <c r="G7" i="3" s="1"/>
  <c r="G6" i="2"/>
  <c r="J6" i="3" s="1"/>
  <c r="F6" i="2"/>
  <c r="I6" i="3" l="1"/>
  <c r="I8" i="3"/>
  <c r="I10" i="3"/>
  <c r="I6" i="4"/>
  <c r="H7" i="3"/>
  <c r="G6" i="4" s="1"/>
  <c r="I8" i="4"/>
  <c r="H9" i="3"/>
  <c r="G8" i="4" s="1"/>
  <c r="H5" i="4"/>
  <c r="J12" i="3"/>
  <c r="B6" i="4" s="1"/>
  <c r="B7" i="4" s="1"/>
  <c r="I5" i="4"/>
  <c r="H6" i="3"/>
  <c r="I7" i="3"/>
  <c r="I7" i="4"/>
  <c r="H8" i="3"/>
  <c r="G7" i="4" s="1"/>
  <c r="I9" i="3"/>
  <c r="I9" i="4"/>
  <c r="H10" i="3"/>
  <c r="G9" i="4" s="1"/>
  <c r="G5" i="4" l="1"/>
  <c r="H12" i="3"/>
  <c r="B8" i="4" s="1"/>
  <c r="B11" i="4" l="1"/>
  <c r="B10" i="4"/>
</calcChain>
</file>

<file path=xl/sharedStrings.xml><?xml version="1.0" encoding="utf-8"?>
<sst xmlns="http://schemas.openxmlformats.org/spreadsheetml/2006/main" count="57" uniqueCount="45">
  <si>
    <t>Carbonara meal setup</t>
  </si>
  <si>
    <t>Base recipe servings</t>
  </si>
  <si>
    <t>Recipe quantities are defined for 2 servings.</t>
  </si>
  <si>
    <t>Desired servings</t>
  </si>
  <si>
    <t>Enter a whole number from 1 through 20.</t>
  </si>
  <si>
    <t>Shopping budget (USD)</t>
  </si>
  <si>
    <t>Enter a nonnegative amount in USD.</t>
  </si>
  <si>
    <t>Editable inputs</t>
  </si>
  <si>
    <t>Amber cells are editable. Update servings and budget here.</t>
  </si>
  <si>
    <t>Update recipe quantities, stock, package sizes and prices in Ingredients.</t>
  </si>
  <si>
    <t>Used-ingredient cost values what is consumed, including available stock.</t>
  </si>
  <si>
    <t>Purchase cost values the whole packages needed for shopping.</t>
  </si>
  <si>
    <t>Carbonara ingredients</t>
  </si>
  <si>
    <t>Source: fixed illustrative data supplied for this meal planner.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</si>
  <si>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</si>
  <si>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</si>
  <si>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</si>
  <si>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</si>
  <si>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</si>
  <si>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</si>
  <si>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</si>
  <si>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</si>
  <si>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</si>
  <si>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</si>
  <si>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</si>
  <si>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</si>
  <si>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All quantities and package sizes are in grams.</t>
  </si>
  <si>
    <t>Egg yolks are weighed without shells or egg whites.</t>
  </si>
  <si>
    <t>Carbonara shopping list</t>
  </si>
  <si>
    <t>Budget (USD)</t>
  </si>
  <si>
    <t>Additional needed (g)</t>
  </si>
  <si>
    <t>Packages to buy</t>
  </si>
  <si>
    <t>Purchase cost (USD)</t>
  </si>
  <si>
    <t>Stock remaining (g)</t>
  </si>
  <si>
    <t>Total cost (USD)</t>
  </si>
  <si>
    <t>Shaded rows require a purchase. Zero-purchase ingredients remain visible.</t>
  </si>
  <si>
    <t>Carbonara cost dashboard</t>
  </si>
  <si>
    <t>Metric</t>
  </si>
  <si>
    <t>Value</t>
  </si>
  <si>
    <t>Used cost (USD)</t>
  </si>
  <si>
    <t>Total used-ingredient cost</t>
  </si>
  <si>
    <t>Used-ingredient cost per serving</t>
  </si>
  <si>
    <t>Total purchase cost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</si>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</sst>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"/>
  </numFmts>
  <fonts count="9">
    <font>
      <sz val="11"/>
      <name val="Carlito"/>
    </font>
    <font>
      <sz val="11"/>
      <color rgb="FF243247"/>
      <name val="Arial"/>
    </font>
    <font>
      <b/>
      <sz val="16"/>
      <color rgb="FF243C5A"/>
      <name val="Arial"/>
    </font>
    <font>
      <sz val="11"/>
      <color rgb="FF1D4F91"/>
      <name val="Arial"/>
    </font>
    <font>
      <b/>
      <sz val="11"/>
      <color rgb="FF1D4F91"/>
      <name val="Arial"/>
    </font>
    <font>
      <b/>
      <sz val="11"/>
      <color rgb="FF243247"/>
      <name val="Arial"/>
    </font>
    <font>
      <sz val="11"/>
      <color rgb="FF667085"/>
      <name val="Arial"/>
    </font>
    <font>
      <i/>
      <sz val="11"/>
      <color rgb="FF667085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43C5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426B9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" fontId="4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vertical="center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4" borderId="3" xfId="0" applyNumberFormat="1" applyFont="1" applyFill="1" applyBorder="1" applyAlignment="1">
      <alignment horizontal="center" vertical="center" wrapText="1"/>
    </xf>
    <xf numFmtId="0" fontId="8" fillId="4" borderId="4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vertical="center"/>
    </xf>
    <xf numFmtId="165" fontId="3" fillId="3" borderId="0" xfId="0" applyNumberFormat="1" applyFont="1" applyFill="1" applyBorder="1" applyAlignment="1">
      <alignment horizontal="right" vertical="center"/>
    </xf>
    <xf numFmtId="165" fontId="1" fillId="5" borderId="0" xfId="0" applyNumberFormat="1" applyFont="1" applyFill="1" applyBorder="1" applyAlignment="1">
      <alignment horizontal="right" vertical="center"/>
    </xf>
    <xf numFmtId="164" fontId="1" fillId="5" borderId="0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65" fontId="1" fillId="2" borderId="0" xfId="0" applyNumberFormat="1" applyFont="1" applyFill="1" applyBorder="1" applyAlignment="1">
      <alignment horizontal="right" vertical="center"/>
    </xf>
    <xf numFmtId="0" fontId="5" fillId="5" borderId="5" xfId="0" applyNumberFormat="1" applyFont="1" applyFill="1" applyBorder="1" applyAlignment="1">
      <alignment vertical="center"/>
    </xf>
    <xf numFmtId="164" fontId="5" fillId="5" borderId="5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654B16"/>
      </font>
      <fill>
        <patternFill patternType="solid">
          <bgColor rgb="FFFFF3D6"/>
        </patternFill>
      </fill>
    </dxf>
    <dxf>
      <font>
        <b/>
        <color rgb="FF9C2533"/>
      </font>
      <fill>
        <patternFill patternType="solid">
          <bgColor rgb="FFFCE4E4"/>
        </patternFill>
      </fill>
    </dxf>
    <dxf>
      <font>
        <b/>
        <color rgb="FF9C2533"/>
      </font>
      <fill>
        <patternFill patternType="solid">
          <bgColor rgb="FFFCE4E4"/>
        </patternFill>
      </fill>
    </dxf>
    <dxf>
      <font>
        <b/>
        <color rgb="FF9C2533"/>
      </font>
      <fill>
        <patternFill patternType="solid">
          <bgColor rgb="FFFCE4E4"/>
        </patternFill>
      </fill>
    </dxf>
    <dxf>
      <font>
        <b/>
        <color rgb="FF9C2533"/>
      </font>
      <fill>
        <patternFill patternType="solid">
          <bgColor rgb="FFFCE4E4"/>
        </patternFill>
      </fill>
    </dxf>
    <dxf>
      <font>
        <color rgb="FF654B16"/>
      </font>
      <fill>
        <patternFill patternType="solid"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426B94"/>
            </a:solidFill>
          </c:spPr>
          <c:invertIfNegative val="1"/>
          <c:cat>
            <c:strRef>
              <c:f>Dashboard!$F$5:$F$9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Dashboard!$G$5:$G$9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AFF-4B55-92A7-3DD66BF97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Dashboard!$F$5:$F$9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Dashboard!$H$5:$H$9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F-4020-B60E-38F501F89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bonaraIngredients" displayName="CarbonaraIngredients" ref="A5:G10" totalsRowShown="0">
  <autoFilter ref="A5:G10" xr:uid="{00000000-0009-0000-0100-000001000000}"/>
  <tableColumns count="7">
    <tableColumn id="1" xr3:uid="{00000000-0010-0000-0000-000001000000}" name="Ingredient"/>
    <tableColumn id="2" xr3:uid="{00000000-0010-0000-0000-000002000000}" name="Base quantity for 2 servings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6B94"/>
  </sheetPr>
  <dimension ref="A1:D16"/>
  <sheetViews>
    <sheetView showGridLines="0" workbookViewId="0"/>
  </sheetViews>
  <sheetFormatPr defaultRowHeight="14.25"/>
  <cols>
    <col min="1" max="1" width="35" customWidth="1"/>
    <col min="2" max="2" width="18" customWidth="1"/>
    <col min="3" max="3" width="4" customWidth="1"/>
    <col min="4" max="4" width="58" customWidth="1"/>
  </cols>
  <sheetData>
    <row r="1" spans="1:4" ht="24" customHeight="1">
      <c r="A1" s="1"/>
      <c r="B1" s="1"/>
      <c r="C1" s="1"/>
      <c r="D1" s="1"/>
    </row>
    <row r="2" spans="1:4" ht="32.1" customHeight="1">
      <c r="A2" s="2" t="s">
        <v>0</v>
      </c>
      <c r="B2" s="1"/>
      <c r="C2" s="1"/>
      <c r="D2" s="1"/>
    </row>
    <row r="3" spans="1:4" ht="24" customHeight="1">
      <c r="A3" s="3"/>
      <c r="B3" s="3"/>
      <c r="C3" s="3"/>
      <c r="D3" s="3"/>
    </row>
    <row r="4" spans="1:4" ht="24" customHeight="1">
      <c r="A4" s="1"/>
      <c r="B4" s="1"/>
      <c r="C4" s="1"/>
      <c r="D4" s="1"/>
    </row>
    <row r="5" spans="1:4" ht="24" customHeight="1">
      <c r="A5" s="1" t="s">
        <v>1</v>
      </c>
      <c r="B5" s="4">
        <v>2</v>
      </c>
      <c r="C5" s="1"/>
      <c r="D5" s="1" t="s">
        <v>2</v>
      </c>
    </row>
    <row r="6" spans="1:4" ht="24" customHeight="1">
      <c r="A6" s="1" t="s">
        <v>3</v>
      </c>
      <c r="B6" s="7">
        <v>6</v>
      </c>
      <c r="C6" s="1"/>
      <c r="D6" s="1" t="s">
        <v>4</v>
      </c>
    </row>
    <row r="7" spans="1:4" ht="24" customHeight="1">
      <c r="A7" s="1" t="s">
        <v>5</v>
      </c>
      <c r="B7" s="8">
        <v>20</v>
      </c>
      <c r="C7" s="1"/>
      <c r="D7" s="1" t="s">
        <v>6</v>
      </c>
    </row>
    <row r="8" spans="1:4" ht="24" customHeight="1">
      <c r="A8" s="1"/>
      <c r="B8" s="1"/>
      <c r="C8" s="1"/>
      <c r="D8" s="1"/>
    </row>
    <row r="9" spans="1:4" ht="24" customHeight="1">
      <c r="A9" s="1"/>
      <c r="B9" s="1"/>
      <c r="C9" s="1"/>
      <c r="D9" s="1"/>
    </row>
    <row r="10" spans="1:4" ht="24" customHeight="1">
      <c r="A10" s="9" t="s">
        <v>7</v>
      </c>
      <c r="B10" s="1"/>
      <c r="C10" s="1"/>
      <c r="D10" s="1"/>
    </row>
    <row r="11" spans="1:4" ht="24" customHeight="1">
      <c r="A11" s="1" t="s">
        <v>8</v>
      </c>
      <c r="B11" s="1"/>
      <c r="C11" s="1"/>
      <c r="D11" s="1"/>
    </row>
    <row r="12" spans="1:4" ht="24" customHeight="1">
      <c r="A12" s="1" t="s">
        <v>9</v>
      </c>
      <c r="B12" s="1"/>
      <c r="C12" s="1"/>
      <c r="D12" s="1"/>
    </row>
    <row r="13" spans="1:4" ht="24" customHeight="1">
      <c r="A13" s="1"/>
      <c r="B13" s="1"/>
      <c r="C13" s="1"/>
      <c r="D13" s="1"/>
    </row>
    <row r="14" spans="1:4" ht="24" customHeight="1">
      <c r="A14" s="10" t="s">
        <v>10</v>
      </c>
      <c r="B14" s="1"/>
      <c r="C14" s="1"/>
      <c r="D14" s="1"/>
    </row>
    <row r="15" spans="1:4" ht="24" customHeight="1">
      <c r="A15" s="10" t="s">
        <v>11</v>
      </c>
      <c r="B15" s="1"/>
      <c r="C15" s="1"/>
      <c r="D15" s="1"/>
    </row>
    <row r="16" spans="1:4" ht="24" customHeight="1">
      <c r="A16" s="1"/>
      <c r="B16" s="1"/>
      <c r="C16" s="1"/>
      <c r="D16" s="1"/>
    </row>
  </sheetData>
  <dataValidations count="2">
    <dataValidation type="whole" showInputMessage="1" showErrorMessage="1" errorTitle="Enter a whole number from 1 to 20" promptTitle="Desired servings: 1 to 20" sqref="B6" xr:uid="{00000000-0002-0000-0000-000000000000}">
      <formula1>1</formula1>
      <formula2>20</formula2>
    </dataValidation>
    <dataValidation type="decimal" operator="greaterThanOrEqual" showInputMessage="1" showErrorMessage="1" errorTitle="Enter a nonnegative number" promptTitle="Budget in USD: zero or more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6" customWidth="1"/>
    <col min="2" max="2" width="25" customWidth="1"/>
    <col min="3" max="3" width="20" customWidth="1"/>
    <col min="4" max="4" width="19" customWidth="1"/>
    <col min="5" max="5" width="22" customWidth="1"/>
    <col min="6" max="6" width="24" customWidth="1"/>
    <col min="7" max="7" width="26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32.1" customHeight="1">
      <c r="A2" s="2" t="s">
        <v>12</v>
      </c>
      <c r="B2" s="1"/>
      <c r="C2" s="1"/>
      <c r="D2" s="1"/>
      <c r="E2" s="1"/>
      <c r="F2" s="1"/>
      <c r="G2" s="1"/>
    </row>
    <row r="3" spans="1:7" ht="24" customHeight="1">
      <c r="A3" s="11" t="s">
        <v>13</v>
      </c>
      <c r="B3" s="3"/>
      <c r="C3" s="3"/>
      <c r="D3" s="3"/>
      <c r="E3" s="3"/>
      <c r="F3" s="3"/>
      <c r="G3" s="3"/>
    </row>
    <row r="4" spans="1:7" ht="24" customHeight="1">
      <c r="A4" s="1"/>
      <c r="B4" s="1"/>
      <c r="C4" s="1"/>
      <c r="D4" s="1"/>
      <c r="E4" s="1"/>
      <c r="F4" s="1"/>
      <c r="G4" s="1"/>
    </row>
    <row r="5" spans="1:7" ht="57.95" customHeight="1">
      <c r="A5" s="12" t="s">
        <v>14</v>
      </c>
      <c r="B5" s="13" t="s">
        <v>15</v>
      </c>
      <c r="C5" s="13" t="s">
        <v>16</v>
      </c>
      <c r="D5" s="13" t="s">
        <v>17</v>
      </c>
      <c r="E5" s="13" t="s">
        <v>18</v>
      </c>
      <c r="F5" s="13" t="s">
        <v>19</v>
      </c>
      <c r="G5" s="14" t="s">
        <v>20</v>
      </c>
    </row>
    <row r="6" spans="1:7" ht="24" customHeight="1">
      <c r="A6" s="15" t="s">
        <v>21</v>
      </c>
      <c r="B6" s="16">
        <v>200</v>
      </c>
      <c r="C6" s="16">
        <v>100</v>
      </c>
      <c r="D6" s="16">
        <v>500</v>
      </c>
      <c r="E6" s="6">
        <v>2.5</v>
      </c>
      <c r="F6" s="17">
        <f>B6*Setup!$B$6/Setup!$B$5</f>
        <v>600</v>
      </c>
      <c r="G6" s="18">
        <f>F6/D6*E6</f>
        <v>3</v>
      </c>
    </row>
    <row r="7" spans="1:7" ht="24" customHeight="1">
      <c r="A7" s="15" t="s">
        <v>22</v>
      </c>
      <c r="B7" s="16">
        <v>80</v>
      </c>
      <c r="C7" s="16">
        <v>20</v>
      </c>
      <c r="D7" s="16">
        <v>100</v>
      </c>
      <c r="E7" s="6">
        <v>4</v>
      </c>
      <c r="F7" s="17">
        <f>B7*Setup!$B$6/Setup!$B$5</f>
        <v>240</v>
      </c>
      <c r="G7" s="18">
        <f>F7/D7*E7</f>
        <v>9.6</v>
      </c>
    </row>
    <row r="8" spans="1:7" ht="24" customHeight="1">
      <c r="A8" s="15" t="s">
        <v>23</v>
      </c>
      <c r="B8" s="16">
        <v>36</v>
      </c>
      <c r="C8" s="16">
        <v>0</v>
      </c>
      <c r="D8" s="16">
        <v>36</v>
      </c>
      <c r="E8" s="6">
        <v>0.54</v>
      </c>
      <c r="F8" s="17">
        <f>B8*Setup!$B$6/Setup!$B$5</f>
        <v>108</v>
      </c>
      <c r="G8" s="18">
        <f>F8/D8*E8</f>
        <v>1.62</v>
      </c>
    </row>
    <row r="9" spans="1:7" ht="24" customHeight="1">
      <c r="A9" s="15" t="s">
        <v>24</v>
      </c>
      <c r="B9" s="16">
        <v>40</v>
      </c>
      <c r="C9" s="16">
        <v>10</v>
      </c>
      <c r="D9" s="16">
        <v>100</v>
      </c>
      <c r="E9" s="6">
        <v>3.5</v>
      </c>
      <c r="F9" s="17">
        <f>B9*Setup!$B$6/Setup!$B$5</f>
        <v>120</v>
      </c>
      <c r="G9" s="18">
        <f>F9/D9*E9</f>
        <v>4.2</v>
      </c>
    </row>
    <row r="10" spans="1:7" ht="24" customHeight="1">
      <c r="A10" s="15" t="s">
        <v>25</v>
      </c>
      <c r="B10" s="16">
        <v>1</v>
      </c>
      <c r="C10" s="16">
        <v>2</v>
      </c>
      <c r="D10" s="16">
        <v>50</v>
      </c>
      <c r="E10" s="6">
        <v>2.5</v>
      </c>
      <c r="F10" s="17">
        <f>B10*Setup!$B$6/Setup!$B$5</f>
        <v>3</v>
      </c>
      <c r="G10" s="18">
        <f>F10/D10*E10</f>
        <v>0.15</v>
      </c>
    </row>
    <row r="11" spans="1:7" ht="24" customHeight="1">
      <c r="A11" s="1"/>
      <c r="B11" s="1"/>
      <c r="C11" s="1"/>
      <c r="D11" s="1"/>
      <c r="E11" s="1"/>
      <c r="F11" s="1"/>
      <c r="G11" s="1"/>
    </row>
    <row r="12" spans="1:7" ht="24" customHeight="1">
      <c r="A12" s="19" t="s">
        <v>26</v>
      </c>
      <c r="B12" s="1"/>
      <c r="C12" s="1"/>
      <c r="D12" s="1"/>
      <c r="E12" s="1"/>
      <c r="F12" s="1"/>
      <c r="G12" s="1"/>
    </row>
    <row r="13" spans="1:7" ht="24" customHeight="1">
      <c r="A13" s="19" t="s">
        <v>27</v>
      </c>
      <c r="B13" s="1"/>
      <c r="C13" s="1"/>
      <c r="D13" s="1"/>
      <c r="E13" s="1"/>
      <c r="F13" s="1"/>
      <c r="G13" s="1"/>
    </row>
    <row r="14" spans="1:7" ht="24" customHeight="1">
      <c r="A14" s="1"/>
      <c r="B14" s="1"/>
      <c r="C14" s="1"/>
      <c r="D14" s="1"/>
      <c r="E14" s="1"/>
      <c r="F14" s="1"/>
      <c r="G1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6" customWidth="1"/>
    <col min="2" max="3" width="18" customWidth="1"/>
    <col min="4" max="4" width="21" customWidth="1"/>
    <col min="5" max="5" width="18" customWidth="1"/>
    <col min="6" max="6" width="20" customWidth="1"/>
    <col min="7" max="7" width="18" customWidth="1"/>
    <col min="8" max="8" width="20" customWidth="1"/>
    <col min="9" max="9" width="23" customWidth="1"/>
    <col min="10" max="10" width="26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.1" customHeight="1">
      <c r="A2" s="2" t="s">
        <v>28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3" t="s">
        <v>3</v>
      </c>
      <c r="B3" s="21">
        <f>Setup!$B$6</f>
        <v>6</v>
      </c>
      <c r="C3" s="3"/>
      <c r="D3" s="3" t="s">
        <v>29</v>
      </c>
      <c r="E3" s="3"/>
      <c r="F3" s="20">
        <f>Setup!$B$7</f>
        <v>20</v>
      </c>
      <c r="G3" s="3"/>
      <c r="H3" s="3"/>
      <c r="I3" s="3"/>
      <c r="J3" s="3"/>
    </row>
    <row r="4" spans="1:10" ht="24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57.95" customHeight="1">
      <c r="A5" s="12" t="s">
        <v>14</v>
      </c>
      <c r="B5" s="13" t="s">
        <v>19</v>
      </c>
      <c r="C5" s="13" t="s">
        <v>16</v>
      </c>
      <c r="D5" s="13" t="s">
        <v>30</v>
      </c>
      <c r="E5" s="13" t="s">
        <v>17</v>
      </c>
      <c r="F5" s="13" t="s">
        <v>18</v>
      </c>
      <c r="G5" s="13" t="s">
        <v>31</v>
      </c>
      <c r="H5" s="13" t="s">
        <v>32</v>
      </c>
      <c r="I5" s="13" t="s">
        <v>33</v>
      </c>
      <c r="J5" s="14" t="s">
        <v>20</v>
      </c>
    </row>
    <row r="6" spans="1:10" ht="24" customHeight="1">
      <c r="A6" s="1" t="str">
        <f>Ingredients!A6</f>
        <v>Spaghetti (dry)</v>
      </c>
      <c r="B6" s="22">
        <f>Ingredients!F6</f>
        <v>600</v>
      </c>
      <c r="C6" s="22">
        <f>Ingredients!C6</f>
        <v>100</v>
      </c>
      <c r="D6" s="22">
        <f>MAX(0,B6-C6)</f>
        <v>500</v>
      </c>
      <c r="E6" s="22">
        <f>Ingredients!D6</f>
        <v>500</v>
      </c>
      <c r="F6" s="5">
        <f>Ingredients!E6</f>
        <v>2.5</v>
      </c>
      <c r="G6" s="4">
        <f>ROUNDUP(D6/E6,0)</f>
        <v>1</v>
      </c>
      <c r="H6" s="5">
        <f>G6*F6</f>
        <v>2.5</v>
      </c>
      <c r="I6" s="22">
        <f>C6+G6*E6-B6</f>
        <v>0</v>
      </c>
      <c r="J6" s="5">
        <f>Ingredients!G6</f>
        <v>3</v>
      </c>
    </row>
    <row r="7" spans="1:10" ht="24" customHeight="1">
      <c r="A7" s="1" t="str">
        <f>Ingredients!A7</f>
        <v>Guanciale</v>
      </c>
      <c r="B7" s="22">
        <f>Ingredients!F7</f>
        <v>240</v>
      </c>
      <c r="C7" s="22">
        <f>Ingredients!C7</f>
        <v>20</v>
      </c>
      <c r="D7" s="22">
        <f>MAX(0,B7-C7)</f>
        <v>220</v>
      </c>
      <c r="E7" s="22">
        <f>Ingredients!D7</f>
        <v>100</v>
      </c>
      <c r="F7" s="5">
        <f>Ingredients!E7</f>
        <v>4</v>
      </c>
      <c r="G7" s="4">
        <f>ROUNDUP(D7/E7,0)</f>
        <v>3</v>
      </c>
      <c r="H7" s="5">
        <f>G7*F7</f>
        <v>12</v>
      </c>
      <c r="I7" s="22">
        <f>C7+G7*E7-B7</f>
        <v>80</v>
      </c>
      <c r="J7" s="5">
        <f>Ingredients!G7</f>
        <v>9.6</v>
      </c>
    </row>
    <row r="8" spans="1:10" ht="24" customHeight="1">
      <c r="A8" s="1" t="str">
        <f>Ingredients!A8</f>
        <v>Egg yolks</v>
      </c>
      <c r="B8" s="22">
        <f>Ingredients!F8</f>
        <v>108</v>
      </c>
      <c r="C8" s="22">
        <f>Ingredients!C8</f>
        <v>0</v>
      </c>
      <c r="D8" s="22">
        <f>MAX(0,B8-C8)</f>
        <v>108</v>
      </c>
      <c r="E8" s="22">
        <f>Ingredients!D8</f>
        <v>36</v>
      </c>
      <c r="F8" s="5">
        <f>Ingredients!E8</f>
        <v>0.54</v>
      </c>
      <c r="G8" s="4">
        <f>ROUNDUP(D8/E8,0)</f>
        <v>3</v>
      </c>
      <c r="H8" s="5">
        <f>G8*F8</f>
        <v>1.62</v>
      </c>
      <c r="I8" s="22">
        <f>C8+G8*E8-B8</f>
        <v>0</v>
      </c>
      <c r="J8" s="5">
        <f>Ingredients!G8</f>
        <v>1.62</v>
      </c>
    </row>
    <row r="9" spans="1:10" ht="24" customHeight="1">
      <c r="A9" s="1" t="str">
        <f>Ingredients!A9</f>
        <v>Pecorino Romano</v>
      </c>
      <c r="B9" s="22">
        <f>Ingredients!F9</f>
        <v>120</v>
      </c>
      <c r="C9" s="22">
        <f>Ingredients!C9</f>
        <v>10</v>
      </c>
      <c r="D9" s="22">
        <f>MAX(0,B9-C9)</f>
        <v>110</v>
      </c>
      <c r="E9" s="22">
        <f>Ingredients!D9</f>
        <v>100</v>
      </c>
      <c r="F9" s="5">
        <f>Ingredients!E9</f>
        <v>3.5</v>
      </c>
      <c r="G9" s="4">
        <f>ROUNDUP(D9/E9,0)</f>
        <v>2</v>
      </c>
      <c r="H9" s="5">
        <f>G9*F9</f>
        <v>7</v>
      </c>
      <c r="I9" s="22">
        <f>C9+G9*E9-B9</f>
        <v>90</v>
      </c>
      <c r="J9" s="5">
        <f>Ingredients!G9</f>
        <v>4.2</v>
      </c>
    </row>
    <row r="10" spans="1:10" ht="24" customHeight="1">
      <c r="A10" s="1" t="str">
        <f>Ingredients!A10</f>
        <v>Black pepper</v>
      </c>
      <c r="B10" s="22">
        <f>Ingredients!F10</f>
        <v>3</v>
      </c>
      <c r="C10" s="22">
        <f>Ingredients!C10</f>
        <v>2</v>
      </c>
      <c r="D10" s="22">
        <f>MAX(0,B10-C10)</f>
        <v>1</v>
      </c>
      <c r="E10" s="22">
        <f>Ingredients!D10</f>
        <v>50</v>
      </c>
      <c r="F10" s="5">
        <f>Ingredients!E10</f>
        <v>2.5</v>
      </c>
      <c r="G10" s="4">
        <f>ROUNDUP(D10/E10,0)</f>
        <v>1</v>
      </c>
      <c r="H10" s="5">
        <f>G10*F10</f>
        <v>2.5</v>
      </c>
      <c r="I10" s="22">
        <f>C10+G10*E10-B10</f>
        <v>49</v>
      </c>
      <c r="J10" s="5">
        <f>Ingredients!G10</f>
        <v>0.15</v>
      </c>
    </row>
    <row r="11" spans="1:10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24" customHeight="1">
      <c r="A12" s="23" t="s">
        <v>34</v>
      </c>
      <c r="B12" s="23"/>
      <c r="C12" s="23"/>
      <c r="D12" s="23"/>
      <c r="E12" s="23"/>
      <c r="F12" s="23"/>
      <c r="G12" s="23"/>
      <c r="H12" s="24">
        <f>ROUND(SUM(H6:H10),2)</f>
        <v>25.62</v>
      </c>
      <c r="I12" s="24"/>
      <c r="J12" s="24">
        <f>SUM(J6:J10)</f>
        <v>18.569999999999997</v>
      </c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19" t="s">
        <v>35</v>
      </c>
      <c r="B14" s="1"/>
      <c r="C14" s="1"/>
      <c r="D14" s="1"/>
      <c r="E14" s="1"/>
      <c r="F14" s="1"/>
      <c r="G14" s="1"/>
      <c r="H14" s="1"/>
      <c r="I14" s="1"/>
      <c r="J14" s="1"/>
    </row>
  </sheetData>
  <conditionalFormatting sqref="A6:J10">
    <cfRule type="expression" dxfId="5" priority="1">
      <formula>$G6&gt;0</formula>
    </cfRule>
  </conditionalFormatting>
  <conditionalFormatting sqref="H12">
    <cfRule type="expression" dxfId="4" priority="2">
      <formula>$H$12&gt;$F$3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3C5A"/>
  </sheetPr>
  <dimension ref="A1:J30"/>
  <sheetViews>
    <sheetView showGridLines="0" tabSelected="1" zoomScale="85" zoomScaleNormal="85" workbookViewId="0">
      <selection activeCell="K1" sqref="K1"/>
    </sheetView>
  </sheetViews>
  <sheetFormatPr defaultRowHeight="14.25"/>
  <cols>
    <col min="1" max="1" width="35" customWidth="1"/>
    <col min="2" max="2" width="20" customWidth="1"/>
    <col min="3" max="3" width="3" customWidth="1"/>
    <col min="4" max="4" width="20" customWidth="1"/>
    <col min="5" max="5" width="3" customWidth="1"/>
    <col min="6" max="6" width="28" customWidth="1"/>
    <col min="7" max="9" width="18" customWidth="1"/>
    <col min="10" max="10" width="10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.1" customHeight="1">
      <c r="A2" s="2" t="s">
        <v>36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45.95" customHeight="1">
      <c r="A4" s="12" t="s">
        <v>37</v>
      </c>
      <c r="B4" s="14" t="s">
        <v>38</v>
      </c>
      <c r="C4" s="1"/>
      <c r="D4" s="1"/>
      <c r="E4" s="1"/>
      <c r="F4" s="12" t="s">
        <v>14</v>
      </c>
      <c r="G4" s="13" t="s">
        <v>32</v>
      </c>
      <c r="H4" s="13" t="s">
        <v>39</v>
      </c>
      <c r="I4" s="14" t="s">
        <v>31</v>
      </c>
      <c r="J4" s="1"/>
    </row>
    <row r="5" spans="1:10" ht="29.1" customHeight="1">
      <c r="A5" s="1" t="s">
        <v>3</v>
      </c>
      <c r="B5" s="4">
        <f>Setup!$B$6</f>
        <v>6</v>
      </c>
      <c r="C5" s="1"/>
      <c r="D5" s="1"/>
      <c r="E5" s="1"/>
      <c r="F5" s="1" t="str">
        <f>ShoppingList!A6</f>
        <v>Spaghetti (dry)</v>
      </c>
      <c r="G5" s="5">
        <f>ShoppingList!H6</f>
        <v>2.5</v>
      </c>
      <c r="H5" s="5">
        <f>ShoppingList!J6</f>
        <v>3</v>
      </c>
      <c r="I5" s="4">
        <f>ShoppingList!G6</f>
        <v>1</v>
      </c>
      <c r="J5" s="1"/>
    </row>
    <row r="6" spans="1:10" ht="29.1" customHeight="1">
      <c r="A6" s="1" t="s">
        <v>40</v>
      </c>
      <c r="B6" s="5">
        <f>ShoppingList!$J$12</f>
        <v>18.569999999999997</v>
      </c>
      <c r="C6" s="1"/>
      <c r="D6" s="1"/>
      <c r="E6" s="1"/>
      <c r="F6" s="1" t="str">
        <f>ShoppingList!A7</f>
        <v>Guanciale</v>
      </c>
      <c r="G6" s="5">
        <f>ShoppingList!H7</f>
        <v>12</v>
      </c>
      <c r="H6" s="5">
        <f>ShoppingList!J7</f>
        <v>9.6</v>
      </c>
      <c r="I6" s="4">
        <f>ShoppingList!G7</f>
        <v>3</v>
      </c>
      <c r="J6" s="1"/>
    </row>
    <row r="7" spans="1:10" ht="29.1" customHeight="1">
      <c r="A7" s="1" t="s">
        <v>41</v>
      </c>
      <c r="B7" s="5">
        <f>B6/B5</f>
        <v>3.0949999999999993</v>
      </c>
      <c r="C7" s="1"/>
      <c r="D7" s="1"/>
      <c r="E7" s="1"/>
      <c r="F7" s="1" t="str">
        <f>ShoppingList!A8</f>
        <v>Egg yolks</v>
      </c>
      <c r="G7" s="5">
        <f>ShoppingList!H8</f>
        <v>1.62</v>
      </c>
      <c r="H7" s="5">
        <f>ShoppingList!J8</f>
        <v>1.62</v>
      </c>
      <c r="I7" s="4">
        <f>ShoppingList!G8</f>
        <v>3</v>
      </c>
      <c r="J7" s="1"/>
    </row>
    <row r="8" spans="1:10" ht="29.1" customHeight="1">
      <c r="A8" s="1" t="s">
        <v>42</v>
      </c>
      <c r="B8" s="25">
        <f>ShoppingList!$H$12</f>
        <v>25.62</v>
      </c>
      <c r="C8" s="1"/>
      <c r="D8" s="1"/>
      <c r="E8" s="1"/>
      <c r="F8" s="1" t="str">
        <f>ShoppingList!A9</f>
        <v>Pecorino Romano</v>
      </c>
      <c r="G8" s="5">
        <f>ShoppingList!H9</f>
        <v>7</v>
      </c>
      <c r="H8" s="5">
        <f>ShoppingList!J9</f>
        <v>4.2</v>
      </c>
      <c r="I8" s="4">
        <f>ShoppingList!G9</f>
        <v>2</v>
      </c>
      <c r="J8" s="1"/>
    </row>
    <row r="9" spans="1:10" ht="29.1" customHeight="1">
      <c r="A9" s="1" t="s">
        <v>5</v>
      </c>
      <c r="B9" s="25">
        <f>Setup!$B$7</f>
        <v>20</v>
      </c>
      <c r="C9" s="1"/>
      <c r="D9" s="1"/>
      <c r="E9" s="1"/>
      <c r="F9" s="1" t="str">
        <f>ShoppingList!A10</f>
        <v>Black pepper</v>
      </c>
      <c r="G9" s="5">
        <f>ShoppingList!H10</f>
        <v>2.5</v>
      </c>
      <c r="H9" s="5">
        <f>ShoppingList!J10</f>
        <v>0.15</v>
      </c>
      <c r="I9" s="4">
        <f>ShoppingList!G10</f>
        <v>1</v>
      </c>
      <c r="J9" s="1"/>
    </row>
    <row r="10" spans="1:10" ht="29.1" customHeight="1">
      <c r="A10" s="1" t="s">
        <v>43</v>
      </c>
      <c r="B10" s="25">
        <f>B9-B8</f>
        <v>-5.620000000000001</v>
      </c>
      <c r="C10" s="1"/>
      <c r="D10" s="1"/>
      <c r="E10" s="1"/>
      <c r="F10" s="1"/>
      <c r="G10" s="1"/>
      <c r="H10" s="1"/>
      <c r="I10" s="1"/>
      <c r="J10" s="1"/>
    </row>
    <row r="11" spans="1:10" ht="29.1" customHeight="1">
      <c r="A11" s="1" t="s">
        <v>44</v>
      </c>
      <c r="B11" s="26" t="str">
        <f>IF(B8&lt;=B9,"Within budget","Over budget")</f>
        <v>Over budget</v>
      </c>
      <c r="C11" s="1"/>
      <c r="D11" s="1"/>
      <c r="E11" s="1"/>
      <c r="F11" s="1"/>
      <c r="G11" s="1"/>
      <c r="H11" s="1"/>
      <c r="I11" s="1"/>
      <c r="J11" s="1"/>
    </row>
    <row r="12" spans="1:10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conditionalFormatting sqref="B8">
    <cfRule type="expression" dxfId="3" priority="1">
      <formula>$B$8&gt;$B$9</formula>
    </cfRule>
  </conditionalFormatting>
  <conditionalFormatting sqref="B10">
    <cfRule type="cellIs" dxfId="2" priority="2" operator="lessThan">
      <formula>0</formula>
    </cfRule>
  </conditionalFormatting>
  <conditionalFormatting sqref="B11">
    <cfRule type="expression" dxfId="1" priority="3">
      <formula>$B$8&gt;$B$9</formula>
    </cfRule>
  </conditionalFormatting>
  <conditionalFormatting sqref="F5:I9">
    <cfRule type="expression" dxfId="0" priority="4">
      <formula>$I5&gt;0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2026-10-03T09:42:55Z</dcterms:modified>
</cp:coreProperties>
</file>