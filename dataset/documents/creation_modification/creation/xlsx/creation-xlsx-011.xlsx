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efb2336f7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63b622b1bf78426f"/>
    <x:sheet xmlns:r="http://schemas.openxmlformats.org/officeDocument/2006/relationships" name="Ingredients" sheetId="2" r:id="Rf11e063bad57490b"/>
    <x:sheet xmlns:r="http://schemas.openxmlformats.org/officeDocument/2006/relationships" name="ShoppingList" sheetId="3" r:id="R8b87c126f87945e3"/>
    <x:sheet xmlns:r="http://schemas.openxmlformats.org/officeDocument/2006/relationships" name="Dashboard" sheetId="4" r:id="Rb78c93b5fcb2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0.0"/>
  </x:numFmts>
  <x:fonts count="5">
    <x:font>
      <x:sz val="11"/>
      <x:name val="Carlito"/>
    </x:font>
    <x:font>
      <x:sz val="11"/>
      <x:color rgb="FF25312D"/>
      <x:name val="Arial"/>
    </x:font>
    <x:font>
      <x:b/>
      <x:sz val="16"/>
      <x:color rgb="FF344E41"/>
      <x:name val="Arial"/>
    </x:font>
    <x:font>
      <x:b/>
      <x:sz val="11"/>
      <x:color rgb="FFFFFFFF"/>
      <x:name val="Arial"/>
    </x:font>
    <x:font>
      <x:b/>
      <x:sz val="11"/>
      <x:color rgb="FF2531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44E41"/>
      </x:patternFill>
    </x:fill>
  </x:fills>
  <x:borders count="3">
    <x:border/>
    <x:border>
      <x:bottom style="thin">
        <x:color rgb="FFA3B18A"/>
      </x:bottom>
    </x:border>
    <x:border>
      <x:top style="thin">
        <x:color rgb="FF344E41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201" fontId="4" fillId="0" borderId="2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E8EFDF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f39ccdc744cca" /><Relationship Type="http://schemas.openxmlformats.org/officeDocument/2006/relationships/theme" Target="/xl/theme/theme1.xml" Id="R58abe550fc13486f" /><Relationship Type="http://schemas.openxmlformats.org/officeDocument/2006/relationships/sharedStrings" Target="/xl/sharedStrings.xml" Id="Rd3e5819c567546a9" /><Relationship Type="http://schemas.openxmlformats.org/officeDocument/2006/relationships/worksheet" Target="/xl/worksheets/sheet1.xml" Id="R63b622b1bf78426f" /><Relationship Type="http://schemas.openxmlformats.org/officeDocument/2006/relationships/worksheet" Target="/xl/worksheets/sheet2.xml" Id="Rf11e063bad57490b" /><Relationship Type="http://schemas.openxmlformats.org/officeDocument/2006/relationships/worksheet" Target="/xl/worksheets/sheet3.xml" Id="R8b87c126f87945e3" /><Relationship Type="http://schemas.openxmlformats.org/officeDocument/2006/relationships/worksheet" Target="/xl/worksheets/sheet4.xml" Id="Rb78c93b5fcb245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9164c9d75a4d1c" /><Relationship Type="http://schemas.openxmlformats.org/officeDocument/2006/relationships/chart" Target="/xl/drawings/charts/chart2.xml" Id="R96ffeaacd7df46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88157"/>
            </a:solidFill>
          </c:spPr>
          <c:cat>
            <c:strRef>
              <c:f>'ShoppingList'!$A$7:$A$11</c:f>
              <c:strCache>
                <c:ptCount val="0"/>
              </c:strCache>
            </c:strRef>
          </c:cat>
          <c:val>
            <c:numRef>
              <c:f>'ShoppingList'!$H$7:$H$11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'Ingredients'!$A$8:$A$12</c:f>
              <c:strCache>
                <c:ptCount val="0"/>
              </c:strCache>
            </c:strRef>
          </c:cat>
          <c:val>
            <c:numRef>
              <c:f>'Ingredients'!$G$8:$G$12</c:f>
              <c:numCache>
                <c:formatCode>$#,##0.00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9164c9d75a4d1c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ffeaacd7df46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7:G12" headerRowCount="1" totalsRowCount="0" totalsRowShown="0">
  <x:autoFilter ref="A7:G12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19207761d49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55e45968b8b44c1" /></Relationships>
</file>

<file path=xl/worksheets/sheet1.xml><?xml version="1.0" encoding="utf-8"?>
<x:worksheet xmlns:x="http://schemas.openxmlformats.org/spreadsheetml/2006/main">
  <x:sheetPr>
    <x:tabColor rgb="FFA3B18A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" hidden="0" customWidth="1"/>
    <x:col min="4" max="4" width="7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2"/>
      <x:c r="C2" s="2"/>
      <x:c r="D2" s="2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5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6" t="n">
        <x:v>6</x:v>
      </x:c>
      <x:c r="C6" s="1"/>
      <x:c r="D6" s="1" t="str">
        <x:v>Editable input: whole numbers from 1 to 20</x:v>
      </x:c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7" t="n">
        <x:v>20</x:v>
      </x:c>
      <x:c r="C7" s="1"/>
      <x:c r="D7" s="1" t="str">
        <x:v>Editable input: zero or a positive amount</x:v>
      </x:c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Amber cells are editable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Used cost values the amount cooked at the package unit price.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Purchase cost buys whole packages after available stock is deducted.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showErrorMessage="1" errorStyle="stop" allowBlank="0" type="whole" operator="between" sqref="B6">
      <x:formula1>1</x:formula1>
      <x:formula2>20</x:formula2>
    </x:dataValidation>
    <x:dataValidation showErrorMessage="1" errorStyle="stop" allowBlank="0" type="decimal" operator="greaterThanOrEqual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Recipe and pantry</x:v>
      </x:c>
      <x:c r="B2" s="2"/>
      <x:c r="C2" s="2"/>
      <x:c r="D2" s="2"/>
      <x:c r="E2" s="2"/>
      <x:c r="F2" s="2"/>
      <x:c r="G2" s="2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</x:row>
    <x:row r="4" ht="23" customHeight="1">
      <x:c r="A4" s="1" t="str">
        <x:v>Source: user-supplied illustrative quantities and prices. All quantities are grams.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Egg yolks exclude shells and egg whites. Amber cells are editable.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4" customHeight="1">
      <x:c r="A7" s="15" t="str">
        <x:v>Ingredient</x:v>
      </x:c>
      <x:c r="B7" s="15" t="str">
        <x:v>Base quantity (g)</x:v>
      </x:c>
      <x:c r="C7" s="15" t="str">
        <x:v>Stock available (g)</x:v>
      </x:c>
      <x:c r="D7" s="15" t="str">
        <x:v>Package size (g)</x:v>
      </x:c>
      <x:c r="E7" s="15" t="str">
        <x:v>Package price (USD)</x:v>
      </x:c>
      <x:c r="F7" s="15" t="str">
        <x:v>Required quantity (g)</x:v>
      </x:c>
      <x:c r="G7" s="15" t="str">
        <x:v>Used cost (USD)</x:v>
      </x:c>
      <x:c r="H7" s="1"/>
      <x:c r="I7" s="1"/>
      <x:c r="J7" s="1"/>
      <x:c r="K7" s="1"/>
      <x:c r="L7" s="1"/>
    </x:row>
    <x:row r="8" ht="23" customHeight="1">
      <x:c r="A8" s="4" t="str">
        <x:v>Spaghetti (dry)</x:v>
      </x:c>
      <x:c r="B8" s="8" t="n">
        <x:v>200</x:v>
      </x:c>
      <x:c r="C8" s="8" t="n">
        <x:v>100</x:v>
      </x:c>
      <x:c r="D8" s="8" t="n">
        <x:v>500</x:v>
      </x:c>
      <x:c r="E8" s="7" t="n">
        <x:v>2.5</x:v>
      </x:c>
      <x:c r="F8" s="9" t="n">
        <x:f>B8*Setup!$B$6/Setup!$B$5</x:f>
        <x:v>600</x:v>
      </x:c>
      <x:c r="G8" s="10" t="n">
        <x:f>F8/D8*E8</x:f>
        <x:v>3</x:v>
      </x:c>
      <x:c r="H8" s="1"/>
      <x:c r="I8" s="1"/>
      <x:c r="J8" s="1"/>
      <x:c r="K8" s="1"/>
      <x:c r="L8" s="1"/>
    </x:row>
    <x:row r="9" ht="23" customHeight="1">
      <x:c r="A9" s="4" t="str">
        <x:v>Guanciale</x:v>
      </x:c>
      <x:c r="B9" s="8" t="n">
        <x:v>80</x:v>
      </x:c>
      <x:c r="C9" s="8" t="n">
        <x:v>20</x:v>
      </x:c>
      <x:c r="D9" s="8" t="n">
        <x:v>100</x:v>
      </x:c>
      <x:c r="E9" s="7" t="n">
        <x:v>4</x:v>
      </x:c>
      <x:c r="F9" s="9" t="n">
        <x:f>B9*Setup!$B$6/Setup!$B$5</x:f>
        <x:v>240</x:v>
      </x:c>
      <x:c r="G9" s="10" t="n">
        <x:f>F9/D9*E9</x:f>
        <x:v>9.6</x:v>
      </x:c>
      <x:c r="H9" s="1"/>
      <x:c r="I9" s="1"/>
      <x:c r="J9" s="1"/>
      <x:c r="K9" s="1"/>
      <x:c r="L9" s="1"/>
    </x:row>
    <x:row r="10" ht="23" customHeight="1">
      <x:c r="A10" s="4" t="str">
        <x:v>Egg yolks</x:v>
      </x:c>
      <x:c r="B10" s="8" t="n">
        <x:v>36</x:v>
      </x:c>
      <x:c r="C10" s="8" t="n">
        <x:v>0</x:v>
      </x:c>
      <x:c r="D10" s="8" t="n">
        <x:v>36</x:v>
      </x:c>
      <x:c r="E10" s="7" t="n">
        <x:v>0.54</x:v>
      </x:c>
      <x:c r="F10" s="9" t="n">
        <x:f>B10*Setup!$B$6/Setup!$B$5</x:f>
        <x:v>108</x:v>
      </x:c>
      <x:c r="G10" s="10" t="n">
        <x:f>F10/D10*E10</x:f>
        <x:v>1.62</x:v>
      </x:c>
      <x:c r="H10" s="1"/>
      <x:c r="I10" s="1"/>
      <x:c r="J10" s="1"/>
      <x:c r="K10" s="1"/>
      <x:c r="L10" s="1"/>
    </x:row>
    <x:row r="11" ht="23" customHeight="1">
      <x:c r="A11" s="4" t="str">
        <x:v>Pecorino Romano</x:v>
      </x:c>
      <x:c r="B11" s="8" t="n">
        <x:v>40</x:v>
      </x:c>
      <x:c r="C11" s="8" t="n">
        <x:v>10</x:v>
      </x:c>
      <x:c r="D11" s="8" t="n">
        <x:v>100</x:v>
      </x:c>
      <x:c r="E11" s="7" t="n">
        <x:v>3.5</x:v>
      </x:c>
      <x:c r="F11" s="9" t="n">
        <x:f>B11*Setup!$B$6/Setup!$B$5</x:f>
        <x:v>120</x:v>
      </x:c>
      <x:c r="G11" s="10" t="n">
        <x:f>F11/D11*E11</x:f>
        <x:v>4.2</x:v>
      </x:c>
      <x:c r="H11" s="1"/>
      <x:c r="I11" s="1"/>
      <x:c r="J11" s="1"/>
      <x:c r="K11" s="1"/>
      <x:c r="L11" s="1"/>
    </x:row>
    <x:row r="12" ht="23" customHeight="1">
      <x:c r="A12" s="4" t="str">
        <x:v>Black pepper</x:v>
      </x:c>
      <x:c r="B12" s="8" t="n">
        <x:v>1</x:v>
      </x:c>
      <x:c r="C12" s="8" t="n">
        <x:v>2</x:v>
      </x:c>
      <x:c r="D12" s="8" t="n">
        <x:v>50</x:v>
      </x:c>
      <x:c r="E12" s="7" t="n">
        <x:v>2.5</x:v>
      </x:c>
      <x:c r="F12" s="9" t="n">
        <x:f>B12*Setup!$B$6/Setup!$B$5</x:f>
        <x:v>3</x:v>
      </x:c>
      <x:c r="G12" s="10" t="n">
        <x:f>F12/D12*E12</x:f>
        <x:v>0.15</x:v>
      </x:c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62619207761d49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Shopping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1"/>
      <x:c r="L3" s="1"/>
    </x:row>
    <x:row r="4" ht="23" customHeight="1">
      <x:c r="A4" s="1" t="str">
        <x:v>Desired servings</x:v>
      </x:c>
      <x:c r="B4" s="1" t="n">
        <x:f>Setup!B6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4" customHeight="1">
      <x:c r="A6" s="15" t="str">
        <x:v>Ingredient</x:v>
      </x:c>
      <x:c r="B6" s="15" t="str">
        <x:v>Required (g)</x:v>
      </x:c>
      <x:c r="C6" s="15" t="str">
        <x:v>Stock (g)</x:v>
      </x:c>
      <x:c r="D6" s="15" t="str">
        <x:v>Additional (g)</x:v>
      </x:c>
      <x:c r="E6" s="15" t="str">
        <x:v>Pack size (g)</x:v>
      </x:c>
      <x:c r="F6" s="15" t="str">
        <x:v>Pack price (USD)</x:v>
      </x:c>
      <x:c r="G6" s="15" t="str">
        <x:v>Packages to buy</x:v>
      </x:c>
      <x:c r="H6" s="15" t="str">
        <x:v>Purchase cost (USD)</x:v>
      </x:c>
      <x:c r="I6" s="15" t="str">
        <x:v>Remaining (g)</x:v>
      </x:c>
      <x:c r="J6" s="15" t="str">
        <x:v>Used cost (USD)</x:v>
      </x:c>
      <x:c r="K6" s="1"/>
      <x:c r="L6" s="1"/>
    </x:row>
    <x:row r="7" ht="23" customHeight="1">
      <x:c r="A7" s="1" t="str">
        <x:f>Ingredients!A8</x:f>
        <x:v>Spaghetti (dry)</x:v>
      </x:c>
      <x:c r="B7" s="9" t="n">
        <x:f>Ingredients!F8</x:f>
        <x:v>600</x:v>
      </x:c>
      <x:c r="C7" s="9" t="n">
        <x:f>Ingredients!C8</x:f>
        <x:v>100</x:v>
      </x:c>
      <x:c r="D7" s="9" t="n">
        <x:f>MAX(0,B7-C7)</x:f>
        <x:v>500</x:v>
      </x:c>
      <x:c r="E7" s="9" t="n">
        <x:f>Ingredients!D8</x:f>
        <x:v>500</x:v>
      </x:c>
      <x:c r="F7" s="10" t="n">
        <x:f>Ingredients!E8</x:f>
        <x:v>2.5</x:v>
      </x:c>
      <x:c r="G7" s="5" t="n">
        <x:f>ROUNDUP(D7/E7,0)</x:f>
        <x:v>1</x:v>
      </x:c>
      <x:c r="H7" s="10" t="n">
        <x:f>G7*F7</x:f>
        <x:v>2.5</x:v>
      </x:c>
      <x:c r="I7" s="9" t="n">
        <x:f>C7+G7*E7-B7</x:f>
        <x:v>0</x:v>
      </x:c>
      <x:c r="J7" s="10" t="n">
        <x:f>Ingredients!G8</x:f>
        <x:v>3</x:v>
      </x:c>
      <x:c r="K7" s="1"/>
      <x:c r="L7" s="1"/>
    </x:row>
    <x:row r="8" ht="23" customHeight="1">
      <x:c r="A8" s="1" t="str">
        <x:f>Ingredients!A9</x:f>
        <x:v>Guanciale</x:v>
      </x:c>
      <x:c r="B8" s="9" t="n">
        <x:f>Ingredients!F9</x:f>
        <x:v>240</x:v>
      </x:c>
      <x:c r="C8" s="9" t="n">
        <x:f>Ingredients!C9</x:f>
        <x:v>20</x:v>
      </x:c>
      <x:c r="D8" s="9" t="n">
        <x:f>MAX(0,B8-C8)</x:f>
        <x:v>220</x:v>
      </x:c>
      <x:c r="E8" s="9" t="n">
        <x:f>Ingredients!D9</x:f>
        <x:v>100</x:v>
      </x:c>
      <x:c r="F8" s="10" t="n">
        <x:f>Ingredients!E9</x:f>
        <x:v>4</x:v>
      </x:c>
      <x:c r="G8" s="5" t="n">
        <x:f>ROUNDUP(D8/E8,0)</x:f>
        <x:v>3</x:v>
      </x:c>
      <x:c r="H8" s="10" t="n">
        <x:f>G8*F8</x:f>
        <x:v>12</x:v>
      </x:c>
      <x:c r="I8" s="9" t="n">
        <x:f>C8+G8*E8-B8</x:f>
        <x:v>80</x:v>
      </x:c>
      <x:c r="J8" s="10" t="n">
        <x:f>Ingredients!G9</x:f>
        <x:v>9.6</x:v>
      </x:c>
      <x:c r="K8" s="1"/>
      <x:c r="L8" s="1"/>
    </x:row>
    <x:row r="9" ht="23" customHeight="1">
      <x:c r="A9" s="1" t="str">
        <x:f>Ingredients!A10</x:f>
        <x:v>Egg yolks</x:v>
      </x:c>
      <x:c r="B9" s="9" t="n">
        <x:f>Ingredients!F10</x:f>
        <x:v>108</x:v>
      </x:c>
      <x:c r="C9" s="9" t="n">
        <x:f>Ingredients!C10</x:f>
        <x:v>0</x:v>
      </x:c>
      <x:c r="D9" s="9" t="n">
        <x:f>MAX(0,B9-C9)</x:f>
        <x:v>108</x:v>
      </x:c>
      <x:c r="E9" s="9" t="n">
        <x:f>Ingredients!D10</x:f>
        <x:v>36</x:v>
      </x:c>
      <x:c r="F9" s="10" t="n">
        <x:f>Ingredients!E10</x:f>
        <x:v>0.54</x:v>
      </x:c>
      <x:c r="G9" s="5" t="n">
        <x:f>ROUNDUP(D9/E9,0)</x:f>
        <x:v>3</x:v>
      </x:c>
      <x:c r="H9" s="10" t="n">
        <x:f>G9*F9</x:f>
        <x:v>1.62</x:v>
      </x:c>
      <x:c r="I9" s="9" t="n">
        <x:f>C9+G9*E9-B9</x:f>
        <x:v>0</x:v>
      </x:c>
      <x:c r="J9" s="10" t="n">
        <x:f>Ingredients!G10</x:f>
        <x:v>1.62</x:v>
      </x:c>
      <x:c r="K9" s="1"/>
      <x:c r="L9" s="1"/>
    </x:row>
    <x:row r="10" ht="23" customHeight="1">
      <x:c r="A10" s="1" t="str">
        <x:f>Ingredients!A11</x:f>
        <x:v>Pecorino Romano</x:v>
      </x:c>
      <x:c r="B10" s="9" t="n">
        <x:f>Ingredients!F11</x:f>
        <x:v>120</x:v>
      </x:c>
      <x:c r="C10" s="9" t="n">
        <x:f>Ingredients!C11</x:f>
        <x:v>10</x:v>
      </x:c>
      <x:c r="D10" s="9" t="n">
        <x:f>MAX(0,B10-C10)</x:f>
        <x:v>110</x:v>
      </x:c>
      <x:c r="E10" s="9" t="n">
        <x:f>Ingredients!D11</x:f>
        <x:v>100</x:v>
      </x:c>
      <x:c r="F10" s="10" t="n">
        <x:f>Ingredients!E11</x:f>
        <x:v>3.5</x:v>
      </x:c>
      <x:c r="G10" s="5" t="n">
        <x:f>ROUNDUP(D10/E10,0)</x:f>
        <x:v>2</x:v>
      </x:c>
      <x:c r="H10" s="10" t="n">
        <x:f>G10*F10</x:f>
        <x:v>7</x:v>
      </x:c>
      <x:c r="I10" s="9" t="n">
        <x:f>C10+G10*E10-B10</x:f>
        <x:v>90</x:v>
      </x:c>
      <x:c r="J10" s="10" t="n">
        <x:f>Ingredients!G11</x:f>
        <x:v>4.2</x:v>
      </x:c>
      <x:c r="K10" s="1"/>
      <x:c r="L10" s="1"/>
    </x:row>
    <x:row r="11" ht="23" customHeight="1">
      <x:c r="A11" s="1" t="str">
        <x:f>Ingredients!A12</x:f>
        <x:v>Black pepper</x:v>
      </x:c>
      <x:c r="B11" s="9" t="n">
        <x:f>Ingredients!F12</x:f>
        <x:v>3</x:v>
      </x:c>
      <x:c r="C11" s="9" t="n">
        <x:f>Ingredients!C12</x:f>
        <x:v>2</x:v>
      </x:c>
      <x:c r="D11" s="9" t="n">
        <x:f>MAX(0,B11-C11)</x:f>
        <x:v>1</x:v>
      </x:c>
      <x:c r="E11" s="9" t="n">
        <x:f>Ingredients!D12</x:f>
        <x:v>50</x:v>
      </x:c>
      <x:c r="F11" s="10" t="n">
        <x:f>Ingredients!E12</x:f>
        <x:v>2.5</x:v>
      </x:c>
      <x:c r="G11" s="5" t="n">
        <x:f>ROUNDUP(D11/E11,0)</x:f>
        <x:v>1</x:v>
      </x:c>
      <x:c r="H11" s="10" t="n">
        <x:f>G11*F11</x:f>
        <x:v>2.5</x:v>
      </x:c>
      <x:c r="I11" s="9" t="n">
        <x:f>C11+G11*E11-B11</x:f>
        <x:v>49</x:v>
      </x:c>
      <x:c r="J11" s="10" t="n">
        <x:f>Ingredients!G12</x:f>
        <x:v>0.15</x:v>
      </x:c>
      <x:c r="K11" s="1"/>
      <x:c r="L11" s="1"/>
    </x:row>
    <x:row r="12" ht="23" customHeight="1">
      <x:c r="A12" s="1"/>
      <x:c r="B12" s="1"/>
      <x:c r="C12" s="1"/>
      <x:c r="D12" s="1"/>
      <x:c r="E12" s="1"/>
      <x:c r="F12" s="10"/>
      <x:c r="G12" s="1"/>
      <x:c r="H12" s="10"/>
      <x:c r="I12" s="1"/>
      <x:c r="J12" s="10"/>
      <x:c r="K12" s="1"/>
      <x:c r="L12" s="1"/>
    </x:row>
    <x:row r="13" ht="23" customHeight="1">
      <x:c r="A13" s="17" t="str">
        <x:v>Total (USD)</x:v>
      </x:c>
      <x:c r="B13" s="17"/>
      <x:c r="C13" s="17"/>
      <x:c r="D13" s="17"/>
      <x:c r="E13" s="17"/>
      <x:c r="F13" s="18"/>
      <x:c r="G13" s="17"/>
      <x:c r="H13" s="18" t="n">
        <x:f>SUM(H7:H11)</x:f>
        <x:v>25.62</x:v>
      </x:c>
      <x:c r="I13" s="17"/>
      <x:c r="J13" s="18" t="n">
        <x:f>SUM(J7:J11)</x:f>
        <x:v>18.569999999999997</x:v>
      </x:c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7:J11">
    <x:cfRule type="expression" dxfId="0" priority="1">
      <x:formula>$G7&gt;0</x:formula>
    </x:cfRule>
  </x:conditionalFormatting>
  <x:conditionalFormatting sqref="H13:H13">
    <x:cfRule type="expression" dxfId="1" priority="2">
      <x:formula>H13&gt;Setup!$B$7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44E41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5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Total used-ingredient cost</x:v>
      </x:c>
      <x:c r="B6" s="10" t="n">
        <x:f>ShoppingList!J13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10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6" t="str">
        <x:v>Total purchase cost</x:v>
      </x:c>
      <x:c r="B8" s="19" t="n">
        <x:f>ShoppingList!H13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</x:v>
      </x:c>
      <x:c r="B9" s="10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0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2" priority="1">
      <x:formula>B8&gt;B9</x:formula>
    </x:cfRule>
  </x:conditionalFormatting>
  <x:conditionalFormatting sqref="B11:B11">
    <x:cfRule type="expression" dxfId="3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a55e45968b8b44c1"/>
</x:worksheet>
</file>