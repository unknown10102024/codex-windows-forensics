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d590b74e0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1203d4f45a834ff7"/>
    <x:sheet xmlns:r="http://schemas.openxmlformats.org/officeDocument/2006/relationships" name="Ingredients" sheetId="2" r:id="Rcb7008268dca4de7"/>
    <x:sheet xmlns:r="http://schemas.openxmlformats.org/officeDocument/2006/relationships" name="ShoppingList" sheetId="3" r:id="R47f5ad791f344123"/>
    <x:sheet xmlns:r="http://schemas.openxmlformats.org/officeDocument/2006/relationships" name="Dashboard" sheetId="4" r:id="Rb4415e642b5a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&quot;$&quot;#,##0.00;[Red](&quot;$&quot;#,##0.00);&quot;$&quot;0.00"/>
    <x:numFmt numFmtId="202" formatCode="0.00&quot;x&quot;"/>
    <x:numFmt numFmtId="203" formatCode="#,##0.0;[Red](#,##0.0);0.0"/>
  </x:numFmts>
  <x:fonts count="6">
    <x:font>
      <x:sz val="11"/>
      <x:name val="Carlito"/>
    </x:font>
    <x:font>
      <x:sz val="10"/>
      <x:color rgb="FF30372F"/>
      <x:name val="Arial"/>
    </x:font>
    <x:font>
      <x:b/>
      <x:sz val="16"/>
      <x:color rgb="FF30372F"/>
      <x:name val="Arial"/>
    </x:font>
    <x:font>
      <x:b/>
      <x:sz val="10"/>
      <x:color rgb="FFFFFFFF"/>
      <x:name val="Arial"/>
    </x:font>
    <x:font>
      <x:b/>
      <x:sz val="10"/>
      <x:color rgb="FF30372F"/>
      <x:name val="Arial"/>
    </x:font>
    <x:font>
      <x:i/>
      <x:sz val="10"/>
      <x:color rgb="FF6B72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5523F"/>
      </x:patternFill>
    </x:fill>
    <x:fill>
      <x:patternFill patternType="solid">
        <x:fgColor rgb="FFFFF2CC"/>
      </x:patternFill>
    </x:fill>
    <x:fill>
      <x:patternFill patternType="solid">
        <x:fgColor rgb="FFF2F4EE"/>
      </x:patternFill>
    </x:fill>
  </x:fills>
  <x:borders count="5">
    <x:border/>
    <x:border>
      <x:right style="thin">
        <x:color rgb="FFFFFFFF"/>
      </x:right>
      <x:bottom style="thin">
        <x:color rgb="FF45523F"/>
      </x:bottom>
    </x:border>
    <x:border>
      <x:left style="thin">
        <x:color rgb="FFFFFFFF"/>
      </x:left>
      <x:right style="thin">
        <x:color rgb="FFFFFFFF"/>
      </x:right>
      <x:bottom style="thin">
        <x:color rgb="FF45523F"/>
      </x:bottom>
    </x:border>
    <x:border>
      <x:left style="thin">
        <x:color rgb="FFFFFFFF"/>
      </x:left>
      <x:bottom style="thin">
        <x:color rgb="FF45523F"/>
      </x:bottom>
    </x:border>
    <x:border>
      <x:top style="thin">
        <x:color rgb="FFB6C0AE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vertical="center"/>
    </x:xf>
    <x:xf numFmtId="201" fontId="4" fillId="4" borderId="4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ill>
        <x:patternFill patternType="solid">
          <x:bgColor rgb="FFFFF0DB"/>
        </x:patternFill>
      </x:fill>
    </x:dxf>
    <x:dxf>
      <x:font>
        <x:b/>
        <x:color rgb="FFA52B23"/>
      </x:font>
      <x:fill>
        <x:patternFill patternType="solid">
          <x:bgColor rgb="FFFCE6E4"/>
        </x:patternFill>
      </x:fill>
    </x:dxf>
    <x:dxf>
      <x:font>
        <x:b/>
        <x:color rgb="FFA52B23"/>
      </x:font>
      <x:fill>
        <x:patternFill patternType="solid">
          <x:bgColor rgb="FFFCE6E4"/>
        </x:patternFill>
      </x:fill>
    </x:dxf>
    <x:dxf>
      <x:font>
        <x:b/>
        <x:color rgb="FFA52B23"/>
      </x:font>
      <x:fill>
        <x:patternFill patternType="solid">
          <x:bgColor rgb="FFFCE6E4"/>
        </x:patternFill>
      </x:fill>
    </x:dxf>
    <x:dxf>
      <x:font>
        <x:b/>
        <x:color rgb="FFA52B23"/>
      </x:font>
      <x:fill>
        <x:patternFill patternType="solid">
          <x:bgColor rgb="FFFCE6E4"/>
        </x:patternFill>
      </x:fill>
    </x:dxf>
    <x:dxf>
      <x:fill>
        <x:patternFill patternType="solid">
          <x:bgColor rgb="FFFFF0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5b20981644f34" /><Relationship Type="http://schemas.openxmlformats.org/officeDocument/2006/relationships/theme" Target="/xl/theme/theme1.xml" Id="Rf784cd7d6d364dda" /><Relationship Type="http://schemas.openxmlformats.org/officeDocument/2006/relationships/sharedStrings" Target="/xl/sharedStrings.xml" Id="R95c852997cc54304" /><Relationship Type="http://schemas.openxmlformats.org/officeDocument/2006/relationships/worksheet" Target="/xl/worksheets/sheet1.xml" Id="R1203d4f45a834ff7" /><Relationship Type="http://schemas.openxmlformats.org/officeDocument/2006/relationships/worksheet" Target="/xl/worksheets/sheet2.xml" Id="Rcb7008268dca4de7" /><Relationship Type="http://schemas.openxmlformats.org/officeDocument/2006/relationships/worksheet" Target="/xl/worksheets/sheet3.xml" Id="R47f5ad791f344123" /><Relationship Type="http://schemas.openxmlformats.org/officeDocument/2006/relationships/worksheet" Target="/xl/worksheets/sheet4.xml" Id="Rb4415e642b5a4f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eedebf94454bb4" /><Relationship Type="http://schemas.openxmlformats.org/officeDocument/2006/relationships/chart" Target="/xl/drawings/charts/chart2.xml" Id="R4df9b05b6b4645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9B623E"/>
            </a:solidFill>
          </c:spPr>
          <c:cat>
            <c:strRef>
              <c:f>'Dashboard'!$D$6:$D$10</c:f>
              <c:strCache>
                <c:ptCount val="0"/>
              </c:strCache>
            </c:strRef>
          </c:cat>
          <c:val>
            <c:numRef>
              <c:f>'Dashboard'!$E$6:$E$10</c:f>
              <c:numCache>
                <c:formatCode>"$"#,##0.00;[Red]("$"#,##0.00);"$"0.00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Used-ingredient cost (USD)</c:v>
          </c:tx>
          <c:cat>
            <c:strRef>
              <c:f>'Dashboard'!$D$6:$D$10</c:f>
              <c:strCache>
                <c:ptCount val="0"/>
              </c:strCache>
            </c:strRef>
          </c:cat>
          <c:val>
            <c:numRef>
              <c:f>'Dashboard'!$F$6:$F$10</c:f>
              <c:numCache>
                <c:formatCode>"$"#,##0.00;[Red]("$"#,##0.00);"$"0.00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14</xdr:row>
      <xdr:rowOff>0</xdr:rowOff>
    </xdr:from>
    <xdr:ext cx="533400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eedebf94454bb4"/>
        </a:graphicData>
      </a:graphic>
    </xdr:graphicFrame>
    <xdr:clientData/>
  </xdr:oneCellAnchor>
  <xdr:oneCellAnchor>
    <xdr:from>
      <xdr:col>4</xdr:col>
      <xdr:colOff>0</xdr:colOff>
      <xdr:row>14</xdr:row>
      <xdr:rowOff>0</xdr:rowOff>
    </xdr:from>
    <xdr:ext cx="5334000" cy="3429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f9b05b6b46456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IngredientsTable" displayName="IngredientsTable" ref="A5:G10" headerRowCount="1" totalsRowCount="0" totalsRowShown="0">
  <x:autoFilter ref="A5:G10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hoppingTable" displayName="ShoppingTable" ref="A5:J10" headerRowCount="1" totalsRowCount="0" totalsRowShown="0">
  <x:autoFilter ref="A5:J10"/>
  <x:tableColumns count="10">
    <x:tableColumn id="1" name="Ingredient"/>
    <x:tableColumn id="2" name="Required quantity (g)"/>
    <x:tableColumn id="3" name="Stock available (g)"/>
    <x:tableColumn id="4" name="Package size (g)"/>
    <x:tableColumn id="5" name="Package price (USD)"/>
    <x:tableColumn id="6" name="Additional needed (g)"/>
    <x:tableColumn id="7" name="Packages to buy"/>
    <x:tableColumn id="8" name="Purchase cost (USD)"/>
    <x:tableColumn id="9" name="Stock after cooking (g)"/>
    <x:tableColumn id="10" name="Used-ingredient cost (USD)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c55c969fe84a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728d1d2f464c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56f9db4f7574f86" /></Relationships>
</file>

<file path=xl/worksheets/sheet1.xml><?xml version="1.0" encoding="utf-8"?>
<x:worksheet xmlns:x="http://schemas.openxmlformats.org/spreadsheetml/2006/main">
  <x:sheetPr>
    <x:tabColor rgb="FF859476"/>
  </x:sheetPr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57" hidden="0" customWidth="1"/>
  </x:cols>
  <x:sheetData>
    <x:row r="1" ht="25" customHeight="1">
      <x:c r="A1" s="2"/>
      <x:c r="B1" s="2"/>
      <x:c r="C1" s="2"/>
    </x:row>
    <x:row r="2" ht="32" customHeight="1">
      <x:c r="A2" s="3" t="str">
        <x:v>Carbonara meal setup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8" t="str">
        <x:v>Setting</x:v>
      </x:c>
      <x:c r="B4" s="9" t="str">
        <x:v>Value</x:v>
      </x:c>
      <x:c r="C4" s="10" t="str">
        <x:v>Input guide</x:v>
      </x:c>
    </x:row>
    <x:row r="5" ht="25" customHeight="1">
      <x:c r="A5" s="2" t="str">
        <x:v>Base recipe servings</x:v>
      </x:c>
      <x:c r="B5" s="15" t="n">
        <x:v>2</x:v>
      </x:c>
      <x:c r="C5" s="2" t="str">
        <x:v>Recipe quantities on Ingredients are for this base.</x:v>
      </x:c>
    </x:row>
    <x:row r="6" ht="25" customHeight="1">
      <x:c r="A6" s="2" t="str">
        <x:v>Desired servings</x:v>
      </x:c>
      <x:c r="B6" s="16" t="n">
        <x:v>6</x:v>
      </x:c>
      <x:c r="C6" s="2" t="str">
        <x:v>Enter a whole number from 1 through 20.</x:v>
      </x:c>
    </x:row>
    <x:row r="7" ht="25" customHeight="1">
      <x:c r="A7" s="2" t="str">
        <x:v>Shopping budget (USD)</x:v>
      </x:c>
      <x:c r="B7" s="18" t="n">
        <x:v>20</x:v>
      </x:c>
      <x:c r="C7" s="2" t="str">
        <x:v>Enter a nonnegative amount.</x:v>
      </x:c>
    </x:row>
    <x:row r="8" ht="25" customHeight="1">
      <x:c r="A8" s="2" t="str">
        <x:v>Recipe scale factor</x:v>
      </x:c>
      <x:c r="B8" s="20" t="n">
        <x:f>B6/B5</x:f>
        <x:v>3</x:v>
      </x:c>
      <x:c r="C8" s="2" t="str">
        <x:v>Desired servings divided by base recipe servings.</x:v>
      </x:c>
    </x:row>
    <x:row r="9" ht="25" customHeight="1">
      <x:c r="A9" s="2"/>
      <x:c r="B9" s="2"/>
      <x:c r="C9" s="2"/>
    </x:row>
    <x:row r="10" ht="25" customHeight="1">
      <x:c r="A10" s="21" t="str">
        <x:v>Amber cells are editable inputs.</x:v>
      </x:c>
      <x:c r="B10" s="2"/>
      <x:c r="C10" s="2"/>
    </x:row>
    <x:row r="11" ht="25" customHeight="1">
      <x:c r="A11" s="2"/>
      <x:c r="B11" s="2"/>
      <x:c r="C11" s="2"/>
    </x:row>
    <x:row r="12" ht="25" customHeight="1">
      <x:c r="A12" s="21" t="str">
        <x:v>Change stock, quantities, package sizes, and package prices in Ingredients.</x:v>
      </x:c>
      <x:c r="B12" s="2"/>
      <x:c r="C12" s="2"/>
    </x:row>
    <x:row r="13" ht="25" customHeight="1">
      <x:c r="A13" s="2"/>
      <x:c r="B13" s="2"/>
      <x:c r="C13" s="2"/>
    </x:row>
  </x:sheetData>
  <x:dataValidations count="2">
    <x:dataValidation type="whole" errorStyle="stop" operator="between" showErrorMessage="1" errorTitle="Invalid serving count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number in USD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23" hidden="0" customWidth="1"/>
    <x:col min="3" max="3" width="20" hidden="0" customWidth="1"/>
    <x:col min="4" max="4" width="19" hidden="0" customWidth="1"/>
    <x:col min="5" max="5" width="20" hidden="0" customWidth="1"/>
    <x:col min="6" max="6" width="21" hidden="0" customWidth="1"/>
    <x:col min="7" max="7" width="2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" t="str">
        <x:v>Carbonara ingredients</x:v>
      </x:c>
      <x:c r="B2" s="2"/>
      <x:c r="C2" s="2"/>
      <x:c r="D2" s="2"/>
      <x:c r="E2" s="2"/>
      <x:c r="F2" s="2"/>
      <x:c r="G2" s="2"/>
    </x:row>
    <x:row r="3" ht="25" customHeight="1">
      <x:c r="A3" s="21" t="str">
        <x:v>Illustrative data supplied for this plan. Quantities and package sizes are in grams.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48" customHeight="1">
      <x:c r="A5" s="8" t="str">
        <x:v>Ingredient</x:v>
      </x:c>
      <x:c r="B5" s="9" t="str">
        <x:v>Base quantity for 2 servings (g)</x:v>
      </x:c>
      <x:c r="C5" s="9" t="str">
        <x:v>Stock available (g)</x:v>
      </x:c>
      <x:c r="D5" s="9" t="str">
        <x:v>Package size (g)</x:v>
      </x:c>
      <x:c r="E5" s="9" t="str">
        <x:v>Package price (USD)</x:v>
      </x:c>
      <x:c r="F5" s="9" t="str">
        <x:v>Required quantity (g)</x:v>
      </x:c>
      <x:c r="G5" s="10" t="str">
        <x:v>Used-ingredient cost (USD)</x:v>
      </x:c>
    </x:row>
    <x:row r="6" ht="25" customHeight="1">
      <x:c r="A6" s="11" t="str">
        <x:v>Spaghetti (dry)</x:v>
      </x:c>
      <x:c r="B6" s="24" t="n">
        <x:v>200</x:v>
      </x:c>
      <x:c r="C6" s="24" t="n">
        <x:v>100</x:v>
      </x:c>
      <x:c r="D6" s="24" t="n">
        <x:v>500</x:v>
      </x:c>
      <x:c r="E6" s="28" t="n">
        <x:v>2.5</x:v>
      </x:c>
      <x:c r="F6" s="26" t="n">
        <x:f>B6*'Setup'!$B$6/'Setup'!$B$5</x:f>
        <x:v>600</x:v>
      </x:c>
      <x:c r="G6" s="30" t="n">
        <x:f>F6/D6*E6</x:f>
        <x:v>3</x:v>
      </x:c>
    </x:row>
    <x:row r="7" ht="25" customHeight="1">
      <x:c r="A7" s="11" t="str">
        <x:v>Guanciale</x:v>
      </x:c>
      <x:c r="B7" s="24" t="n">
        <x:v>80</x:v>
      </x:c>
      <x:c r="C7" s="24" t="n">
        <x:v>20</x:v>
      </x:c>
      <x:c r="D7" s="24" t="n">
        <x:v>100</x:v>
      </x:c>
      <x:c r="E7" s="28" t="n">
        <x:v>4</x:v>
      </x:c>
      <x:c r="F7" s="26" t="n">
        <x:f>B7*'Setup'!$B$6/'Setup'!$B$5</x:f>
        <x:v>240</x:v>
      </x:c>
      <x:c r="G7" s="30" t="n">
        <x:f>F7/D7*E7</x:f>
        <x:v>9.6</x:v>
      </x:c>
    </x:row>
    <x:row r="8" ht="25" customHeight="1">
      <x:c r="A8" s="11" t="str">
        <x:v>Egg yolks</x:v>
      </x:c>
      <x:c r="B8" s="24" t="n">
        <x:v>36</x:v>
      </x:c>
      <x:c r="C8" s="24" t="n">
        <x:v>0</x:v>
      </x:c>
      <x:c r="D8" s="24" t="n">
        <x:v>36</x:v>
      </x:c>
      <x:c r="E8" s="28" t="n">
        <x:v>0.54</x:v>
      </x:c>
      <x:c r="F8" s="26" t="n">
        <x:f>B8*'Setup'!$B$6/'Setup'!$B$5</x:f>
        <x:v>108</x:v>
      </x:c>
      <x:c r="G8" s="30" t="n">
        <x:f>F8/D8*E8</x:f>
        <x:v>1.62</x:v>
      </x:c>
    </x:row>
    <x:row r="9" ht="25" customHeight="1">
      <x:c r="A9" s="11" t="str">
        <x:v>Pecorino Romano</x:v>
      </x:c>
      <x:c r="B9" s="24" t="n">
        <x:v>40</x:v>
      </x:c>
      <x:c r="C9" s="24" t="n">
        <x:v>10</x:v>
      </x:c>
      <x:c r="D9" s="24" t="n">
        <x:v>100</x:v>
      </x:c>
      <x:c r="E9" s="28" t="n">
        <x:v>3.5</x:v>
      </x:c>
      <x:c r="F9" s="26" t="n">
        <x:f>B9*'Setup'!$B$6/'Setup'!$B$5</x:f>
        <x:v>120</x:v>
      </x:c>
      <x:c r="G9" s="30" t="n">
        <x:f>F9/D9*E9</x:f>
        <x:v>4.2</x:v>
      </x:c>
    </x:row>
    <x:row r="10" ht="25" customHeight="1">
      <x:c r="A10" s="11" t="str">
        <x:v>Black pepper</x:v>
      </x:c>
      <x:c r="B10" s="24" t="n">
        <x:v>1</x:v>
      </x:c>
      <x:c r="C10" s="24" t="n">
        <x:v>2</x:v>
      </x:c>
      <x:c r="D10" s="24" t="n">
        <x:v>50</x:v>
      </x:c>
      <x:c r="E10" s="28" t="n">
        <x:v>2.5</x:v>
      </x:c>
      <x:c r="F10" s="26" t="n">
        <x:f>B10*'Setup'!$B$6/'Setup'!$B$5</x:f>
        <x:v>3</x:v>
      </x:c>
      <x:c r="G10" s="30" t="n">
        <x:f>F10/D10*E10</x:f>
        <x:v>0.15</x:v>
      </x:c>
    </x:row>
    <x:row r="11" ht="25" customHeight="1">
      <x:c r="A11" s="2"/>
      <x:c r="B11" s="2"/>
      <x:c r="C11" s="2"/>
      <x:c r="D11" s="2"/>
      <x:c r="E11" s="2"/>
      <x:c r="F11" s="2"/>
      <x:c r="G11" s="2"/>
    </x:row>
    <x:row r="12" ht="25" customHeight="1">
      <x:c r="A12" s="21" t="str">
        <x:v>Egg yolks are weighed without shells or egg whites.</x:v>
      </x:c>
      <x:c r="B12" s="2"/>
      <x:c r="C12" s="2"/>
      <x:c r="D12" s="2"/>
      <x:c r="E12" s="2"/>
      <x:c r="F12" s="2"/>
      <x:c r="G12" s="2"/>
    </x:row>
    <x:row r="13" ht="25" customHeight="1">
      <x:c r="A13" s="21" t="str">
        <x:v>Used-ingredient cost values the full required quantity at the listed package price per gram.</x:v>
      </x:c>
      <x:c r="B13" s="2"/>
      <x:c r="C13" s="2"/>
      <x:c r="D13" s="2"/>
      <x:c r="E13" s="2"/>
      <x:c r="F13" s="2"/>
      <x:c r="G13" s="2"/>
    </x:row>
    <x:row r="14" ht="25" customHeight="1">
      <x:c r="A14" s="2"/>
      <x:c r="B14" s="2"/>
      <x:c r="C14" s="2"/>
      <x:c r="D14" s="2"/>
      <x:c r="E14" s="2"/>
      <x:c r="F14" s="2"/>
      <x:c r="G14" s="2"/>
    </x:row>
  </x:sheetData>
  <x:dataValidations count="3">
    <x:dataValidation type="decimal" errorStyle="stop" operator="greaterThanOrEqual" showErrorMessage="1" errorTitle="Invalid quantity" error="Enter a nonnegative quantity in grams." sqref="B6:C10">
      <x:formula1>0</x:formula1>
    </x:dataValidation>
    <x:dataValidation type="decimal" errorStyle="stop" operator="greaterThan" showErrorMessage="1" errorTitle="Invalid package size" error="Enter a package size greater than zero grams." sqref="D6:D10">
      <x:formula1>0</x:formula1>
    </x:dataValidation>
    <x:dataValidation type="decimal" errorStyle="stop" operator="greaterThanOrEqual" showErrorMessage="1" errorTitle="Invalid package price" error="Enter a nonnegative package price in USD." sqref="E6:E1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c55c969fe84a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20" hidden="0" customWidth="1"/>
    <x:col min="3" max="3" width="19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20" hidden="0" customWidth="1"/>
    <x:col min="9" max="9" width="22" hidden="0" customWidth="1"/>
    <x:col min="10" max="10" width="2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Carbonara shopping list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 t="str">
        <x:v>Desired servings</x:v>
      </x:c>
      <x:c r="B3" s="15" t="n">
        <x:f>'Setup'!B6</x:f>
        <x:v>6</x:v>
      </x:c>
      <x:c r="C3" s="2"/>
      <x:c r="D3" s="2" t="str">
        <x:v>Budget (USD)</x:v>
      </x:c>
      <x:c r="E3" s="32" t="n">
        <x:f>'Setup'!B7</x:f>
        <x:v>20</x:v>
      </x:c>
      <x:c r="F3" s="2"/>
      <x:c r="G3" s="2"/>
      <x:c r="H3" s="2"/>
      <x:c r="I3" s="2"/>
      <x:c r="J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8" customHeight="1">
      <x:c r="A5" s="8" t="str">
        <x:v>Ingredient</x:v>
      </x:c>
      <x:c r="B5" s="9" t="str">
        <x:v>Required quantity (g)</x:v>
      </x:c>
      <x:c r="C5" s="9" t="str">
        <x:v>Stock available (g)</x:v>
      </x:c>
      <x:c r="D5" s="9" t="str">
        <x:v>Package size (g)</x:v>
      </x:c>
      <x:c r="E5" s="9" t="str">
        <x:v>Package price (USD)</x:v>
      </x:c>
      <x:c r="F5" s="9" t="str">
        <x:v>Additional needed (g)</x:v>
      </x:c>
      <x:c r="G5" s="9" t="str">
        <x:v>Packages to buy</x:v>
      </x:c>
      <x:c r="H5" s="9" t="str">
        <x:v>Purchase cost (USD)</x:v>
      </x:c>
      <x:c r="I5" s="9" t="str">
        <x:v>Stock after cooking (g)</x:v>
      </x:c>
      <x:c r="J5" s="10" t="str">
        <x:v>Used-ingredient cost (USD)</x:v>
      </x:c>
    </x:row>
    <x:row r="6" ht="25" customHeight="1">
      <x:c r="A6" s="2" t="str">
        <x:f>'Ingredients'!A6</x:f>
        <x:v>Spaghetti (dry)</x:v>
      </x:c>
      <x:c r="B6" s="34" t="n">
        <x:f>'Ingredients'!F6</x:f>
        <x:v>600</x:v>
      </x:c>
      <x:c r="C6" s="34" t="n">
        <x:f>'Ingredients'!C6</x:f>
        <x:v>100</x:v>
      </x:c>
      <x:c r="D6" s="34" t="n">
        <x:f>'Ingredients'!D6</x:f>
        <x:v>500</x:v>
      </x:c>
      <x:c r="E6" s="32" t="n">
        <x:f>'Ingredients'!E6</x:f>
        <x:v>2.5</x:v>
      </x:c>
      <x:c r="F6" s="34" t="n">
        <x:f>MAX(0,B6-C6)</x:f>
        <x:v>500</x:v>
      </x:c>
      <x:c r="G6" s="15" t="n">
        <x:f>ROUNDUP(F6/D6,0)</x:f>
        <x:v>1</x:v>
      </x:c>
      <x:c r="H6" s="32" t="n">
        <x:f>G6*E6</x:f>
        <x:v>2.5</x:v>
      </x:c>
      <x:c r="I6" s="34" t="n">
        <x:f>C6+G6*D6-B6</x:f>
        <x:v>0</x:v>
      </x:c>
      <x:c r="J6" s="32" t="n">
        <x:f>'Ingredients'!G6</x:f>
        <x:v>3</x:v>
      </x:c>
    </x:row>
    <x:row r="7" ht="25" customHeight="1">
      <x:c r="A7" s="2" t="str">
        <x:f>'Ingredients'!A7</x:f>
        <x:v>Guanciale</x:v>
      </x:c>
      <x:c r="B7" s="34" t="n">
        <x:f>'Ingredients'!F7</x:f>
        <x:v>240</x:v>
      </x:c>
      <x:c r="C7" s="34" t="n">
        <x:f>'Ingredients'!C7</x:f>
        <x:v>20</x:v>
      </x:c>
      <x:c r="D7" s="34" t="n">
        <x:f>'Ingredients'!D7</x:f>
        <x:v>100</x:v>
      </x:c>
      <x:c r="E7" s="32" t="n">
        <x:f>'Ingredients'!E7</x:f>
        <x:v>4</x:v>
      </x:c>
      <x:c r="F7" s="34" t="n">
        <x:f>MAX(0,B7-C7)</x:f>
        <x:v>220</x:v>
      </x:c>
      <x:c r="G7" s="15" t="n">
        <x:f>ROUNDUP(F7/D7,0)</x:f>
        <x:v>3</x:v>
      </x:c>
      <x:c r="H7" s="32" t="n">
        <x:f>G7*E7</x:f>
        <x:v>12</x:v>
      </x:c>
      <x:c r="I7" s="34" t="n">
        <x:f>C7+G7*D7-B7</x:f>
        <x:v>80</x:v>
      </x:c>
      <x:c r="J7" s="32" t="n">
        <x:f>'Ingredients'!G7</x:f>
        <x:v>9.6</x:v>
      </x:c>
    </x:row>
    <x:row r="8" ht="25" customHeight="1">
      <x:c r="A8" s="2" t="str">
        <x:f>'Ingredients'!A8</x:f>
        <x:v>Egg yolks</x:v>
      </x:c>
      <x:c r="B8" s="34" t="n">
        <x:f>'Ingredients'!F8</x:f>
        <x:v>108</x:v>
      </x:c>
      <x:c r="C8" s="34" t="n">
        <x:f>'Ingredients'!C8</x:f>
        <x:v>0</x:v>
      </x:c>
      <x:c r="D8" s="34" t="n">
        <x:f>'Ingredients'!D8</x:f>
        <x:v>36</x:v>
      </x:c>
      <x:c r="E8" s="32" t="n">
        <x:f>'Ingredients'!E8</x:f>
        <x:v>0.54</x:v>
      </x:c>
      <x:c r="F8" s="34" t="n">
        <x:f>MAX(0,B8-C8)</x:f>
        <x:v>108</x:v>
      </x:c>
      <x:c r="G8" s="15" t="n">
        <x:f>ROUNDUP(F8/D8,0)</x:f>
        <x:v>3</x:v>
      </x:c>
      <x:c r="H8" s="32" t="n">
        <x:f>G8*E8</x:f>
        <x:v>1.62</x:v>
      </x:c>
      <x:c r="I8" s="34" t="n">
        <x:f>C8+G8*D8-B8</x:f>
        <x:v>0</x:v>
      </x:c>
      <x:c r="J8" s="32" t="n">
        <x:f>'Ingredients'!G8</x:f>
        <x:v>1.62</x:v>
      </x:c>
    </x:row>
    <x:row r="9" ht="25" customHeight="1">
      <x:c r="A9" s="2" t="str">
        <x:f>'Ingredients'!A9</x:f>
        <x:v>Pecorino Romano</x:v>
      </x:c>
      <x:c r="B9" s="34" t="n">
        <x:f>'Ingredients'!F9</x:f>
        <x:v>120</x:v>
      </x:c>
      <x:c r="C9" s="34" t="n">
        <x:f>'Ingredients'!C9</x:f>
        <x:v>10</x:v>
      </x:c>
      <x:c r="D9" s="34" t="n">
        <x:f>'Ingredients'!D9</x:f>
        <x:v>100</x:v>
      </x:c>
      <x:c r="E9" s="32" t="n">
        <x:f>'Ingredients'!E9</x:f>
        <x:v>3.5</x:v>
      </x:c>
      <x:c r="F9" s="34" t="n">
        <x:f>MAX(0,B9-C9)</x:f>
        <x:v>110</x:v>
      </x:c>
      <x:c r="G9" s="15" t="n">
        <x:f>ROUNDUP(F9/D9,0)</x:f>
        <x:v>2</x:v>
      </x:c>
      <x:c r="H9" s="32" t="n">
        <x:f>G9*E9</x:f>
        <x:v>7</x:v>
      </x:c>
      <x:c r="I9" s="34" t="n">
        <x:f>C9+G9*D9-B9</x:f>
        <x:v>90</x:v>
      </x:c>
      <x:c r="J9" s="32" t="n">
        <x:f>'Ingredients'!G9</x:f>
        <x:v>4.2</x:v>
      </x:c>
    </x:row>
    <x:row r="10" ht="25" customHeight="1">
      <x:c r="A10" s="2" t="str">
        <x:f>'Ingredients'!A10</x:f>
        <x:v>Black pepper</x:v>
      </x:c>
      <x:c r="B10" s="34" t="n">
        <x:f>'Ingredients'!F10</x:f>
        <x:v>3</x:v>
      </x:c>
      <x:c r="C10" s="34" t="n">
        <x:f>'Ingredients'!C10</x:f>
        <x:v>2</x:v>
      </x:c>
      <x:c r="D10" s="34" t="n">
        <x:f>'Ingredients'!D10</x:f>
        <x:v>50</x:v>
      </x:c>
      <x:c r="E10" s="32" t="n">
        <x:f>'Ingredients'!E10</x:f>
        <x:v>2.5</x:v>
      </x:c>
      <x:c r="F10" s="34" t="n">
        <x:f>MAX(0,B10-C10)</x:f>
        <x:v>1</x:v>
      </x:c>
      <x:c r="G10" s="15" t="n">
        <x:f>ROUNDUP(F10/D10,0)</x:f>
        <x:v>1</x:v>
      </x:c>
      <x:c r="H10" s="32" t="n">
        <x:f>G10*E10</x:f>
        <x:v>2.5</x:v>
      </x:c>
      <x:c r="I10" s="34" t="n">
        <x:f>C10+G10*D10-B10</x:f>
        <x:v>49</x:v>
      </x:c>
      <x:c r="J10" s="32" t="n">
        <x:f>'Ingredients'!G10</x:f>
        <x:v>0.15</x:v>
      </x:c>
    </x:row>
    <x:row r="11" ht="25" customHeight="1">
      <x:c r="A11" s="2"/>
      <x:c r="B11" s="2"/>
      <x:c r="C11" s="2"/>
      <x:c r="D11" s="2"/>
      <x:c r="E11" s="2"/>
      <x:c r="F11" s="2"/>
      <x:c r="G11" s="2"/>
      <x:c r="H11" s="32"/>
      <x:c r="I11" s="2"/>
      <x:c r="J11" s="32"/>
    </x:row>
    <x:row r="12" ht="30" customHeight="1">
      <x:c r="A12" s="37" t="str">
        <x:v>Total cost (USD)</x:v>
      </x:c>
      <x:c r="B12" s="37"/>
      <x:c r="C12" s="37"/>
      <x:c r="D12" s="37"/>
      <x:c r="E12" s="37"/>
      <x:c r="F12" s="37"/>
      <x:c r="G12" s="37"/>
      <x:c r="H12" s="38" t="n">
        <x:f>SUM(H6:H10)</x:f>
        <x:v>25.62</x:v>
      </x:c>
      <x:c r="I12" s="37"/>
      <x:c r="J12" s="38" t="n">
        <x:f>SUM(J6:J10)</x:f>
        <x:v>18.569999999999997</x:v>
      </x:c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5" customHeight="1">
      <x:c r="A14" s="21" t="str">
        <x:v>Highlighted rows require whole-package purchases. Stock after cooking includes leftover ingredients.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</x:sheetData>
  <x:conditionalFormatting sqref="A6:J10">
    <x:cfRule type="expression" dxfId="0" priority="1">
      <x:formula>$G6&gt;0</x:formula>
    </x:cfRule>
  </x:conditionalFormatting>
  <x:conditionalFormatting sqref="H12:H12">
    <x:cfRule type="expression" dxfId="1" priority="2">
      <x:formula>$H$12&gt;$E$3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728d1d2f464c9c"/>
  </x:tableParts>
</x:worksheet>
</file>

<file path=xl/worksheets/sheet4.xml><?xml version="1.0" encoding="utf-8"?>
<x:worksheet xmlns:x="http://schemas.openxmlformats.org/spreadsheetml/2006/main">
  <x:sheetPr>
    <x:tabColor rgb="FF45523F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" hidden="0" customWidth="1"/>
    <x:col min="4" max="4" width="27" hidden="0" customWidth="1"/>
    <x:col min="5" max="5" width="20" hidden="0" customWidth="1"/>
    <x:col min="6" max="6" width="23" hidden="0" customWidth="1"/>
    <x:col min="7" max="7" width="17" hidden="0" customWidth="1"/>
    <x:col min="8" max="8" width="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Carbonara meal cost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21" t="str">
        <x:v>All costs are in USD.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43" customHeight="1">
      <x:c r="A5" s="8" t="str">
        <x:v>Metric</x:v>
      </x:c>
      <x:c r="B5" s="10" t="str">
        <x:v>Value</x:v>
      </x:c>
      <x:c r="C5" s="2"/>
      <x:c r="D5" s="8" t="str">
        <x:v>Ingredient</x:v>
      </x:c>
      <x:c r="E5" s="9" t="str">
        <x:v>Purchase cost (USD)</x:v>
      </x:c>
      <x:c r="F5" s="9" t="str">
        <x:v>Used-ingredient cost (USD)</x:v>
      </x:c>
      <x:c r="G5" s="10" t="str">
        <x:v>Packages to buy</x:v>
      </x:c>
      <x:c r="H5" s="2"/>
      <x:c r="I5" s="2"/>
      <x:c r="J5" s="2"/>
      <x:c r="K5" s="2"/>
      <x:c r="L5" s="2"/>
      <x:c r="M5" s="2"/>
      <x:c r="N5" s="2"/>
      <x:c r="O5" s="2"/>
    </x:row>
    <x:row r="6" ht="25" customHeight="1">
      <x:c r="A6" s="2" t="str">
        <x:v>Desired servings</x:v>
      </x:c>
      <x:c r="B6" s="15" t="n">
        <x:f>'Setup'!B6</x:f>
        <x:v>6</x:v>
      </x:c>
      <x:c r="C6" s="2"/>
      <x:c r="D6" s="2" t="str">
        <x:f>'ShoppingList'!A6</x:f>
        <x:v>Spaghetti (dry)</x:v>
      </x:c>
      <x:c r="E6" s="32" t="n">
        <x:f>'ShoppingList'!H6</x:f>
        <x:v>2.5</x:v>
      </x:c>
      <x:c r="F6" s="32" t="n">
        <x:f>'ShoppingList'!J6</x:f>
        <x:v>3</x:v>
      </x:c>
      <x:c r="G6" s="15" t="n">
        <x:f>'ShoppingList'!G6</x:f>
        <x:v>1</x:v>
      </x:c>
      <x:c r="H6" s="2"/>
      <x:c r="I6" s="2"/>
      <x:c r="J6" s="2"/>
      <x:c r="K6" s="2"/>
      <x:c r="L6" s="2"/>
      <x:c r="M6" s="2"/>
      <x:c r="N6" s="2"/>
      <x:c r="O6" s="2"/>
    </x:row>
    <x:row r="7" ht="25" customHeight="1">
      <x:c r="A7" s="2" t="str">
        <x:v>Total used-ingredient cost</x:v>
      </x:c>
      <x:c r="B7" s="32" t="n">
        <x:f>'ShoppingList'!J12</x:f>
        <x:v>18.569999999999997</x:v>
      </x:c>
      <x:c r="C7" s="2"/>
      <x:c r="D7" s="2" t="str">
        <x:f>'ShoppingList'!A7</x:f>
        <x:v>Guanciale</x:v>
      </x:c>
      <x:c r="E7" s="32" t="n">
        <x:f>'ShoppingList'!H7</x:f>
        <x:v>12</x:v>
      </x:c>
      <x:c r="F7" s="32" t="n">
        <x:f>'ShoppingList'!J7</x:f>
        <x:v>9.6</x:v>
      </x:c>
      <x:c r="G7" s="15" t="n">
        <x:f>'ShoppingList'!G7</x:f>
        <x:v>3</x:v>
      </x:c>
      <x:c r="H7" s="2"/>
      <x:c r="I7" s="2"/>
      <x:c r="J7" s="2"/>
      <x:c r="K7" s="2"/>
      <x:c r="L7" s="2"/>
      <x:c r="M7" s="2"/>
      <x:c r="N7" s="2"/>
      <x:c r="O7" s="2"/>
    </x:row>
    <x:row r="8" ht="25" customHeight="1">
      <x:c r="A8" s="2" t="str">
        <x:v>Used cost per serving</x:v>
      </x:c>
      <x:c r="B8" s="32" t="n">
        <x:f>B7/B6</x:f>
        <x:v>3.0949999999999993</x:v>
      </x:c>
      <x:c r="C8" s="2"/>
      <x:c r="D8" s="2" t="str">
        <x:f>'ShoppingList'!A8</x:f>
        <x:v>Egg yolks</x:v>
      </x:c>
      <x:c r="E8" s="32" t="n">
        <x:f>'ShoppingList'!H8</x:f>
        <x:v>1.62</x:v>
      </x:c>
      <x:c r="F8" s="32" t="n">
        <x:f>'ShoppingList'!J8</x:f>
        <x:v>1.62</x:v>
      </x:c>
      <x:c r="G8" s="15" t="n">
        <x:f>'ShoppingList'!G8</x:f>
        <x:v>3</x:v>
      </x:c>
      <x:c r="H8" s="2"/>
      <x:c r="I8" s="2"/>
      <x:c r="J8" s="2"/>
      <x:c r="K8" s="2"/>
      <x:c r="L8" s="2"/>
      <x:c r="M8" s="2"/>
      <x:c r="N8" s="2"/>
      <x:c r="O8" s="2"/>
    </x:row>
    <x:row r="9" ht="30" customHeight="1">
      <x:c r="A9" s="37" t="str">
        <x:v>Total purchase cost</x:v>
      </x:c>
      <x:c r="B9" s="38" t="n">
        <x:f>'ShoppingList'!H12</x:f>
        <x:v>25.62</x:v>
      </x:c>
      <x:c r="C9" s="2"/>
      <x:c r="D9" s="2" t="str">
        <x:f>'ShoppingList'!A9</x:f>
        <x:v>Pecorino Romano</x:v>
      </x:c>
      <x:c r="E9" s="32" t="n">
        <x:f>'ShoppingList'!H9</x:f>
        <x:v>7</x:v>
      </x:c>
      <x:c r="F9" s="32" t="n">
        <x:f>'ShoppingList'!J9</x:f>
        <x:v>4.2</x:v>
      </x:c>
      <x:c r="G9" s="15" t="n">
        <x:f>'ShoppingList'!G9</x:f>
        <x:v>2</x:v>
      </x:c>
      <x:c r="H9" s="2"/>
      <x:c r="I9" s="2"/>
      <x:c r="J9" s="2"/>
      <x:c r="K9" s="2"/>
      <x:c r="L9" s="2"/>
      <x:c r="M9" s="2"/>
      <x:c r="N9" s="2"/>
      <x:c r="O9" s="2"/>
    </x:row>
    <x:row r="10" ht="25" customHeight="1">
      <x:c r="A10" s="2" t="str">
        <x:v>Shopping budget</x:v>
      </x:c>
      <x:c r="B10" s="32" t="n">
        <x:f>'Setup'!B7</x:f>
        <x:v>20</x:v>
      </x:c>
      <x:c r="C10" s="2"/>
      <x:c r="D10" s="2" t="str">
        <x:f>'ShoppingList'!A10</x:f>
        <x:v>Black pepper</x:v>
      </x:c>
      <x:c r="E10" s="32" t="n">
        <x:f>'ShoppingList'!H10</x:f>
        <x:v>2.5</x:v>
      </x:c>
      <x:c r="F10" s="32" t="n">
        <x:f>'ShoppingList'!J10</x:f>
        <x:v>0.15</x:v>
      </x:c>
      <x:c r="G10" s="15" t="n">
        <x:f>'ShoppingList'!G10</x:f>
        <x:v>1</x:v>
      </x:c>
      <x:c r="H10" s="2"/>
      <x:c r="I10" s="2"/>
      <x:c r="J10" s="2"/>
      <x:c r="K10" s="2"/>
      <x:c r="L10" s="2"/>
      <x:c r="M10" s="2"/>
      <x:c r="N10" s="2"/>
      <x:c r="O10" s="2"/>
    </x:row>
    <x:row r="11" ht="25" customHeight="1">
      <x:c r="A11" s="2" t="str">
        <x:v>Budget remaining</x:v>
      </x:c>
      <x:c r="B11" s="32" t="n">
        <x:f>B10-B9</x:f>
        <x:v>-5.620000000000001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5" customHeight="1">
      <x:c r="A12" s="2" t="str">
        <x:v>Budget status</x:v>
      </x:c>
      <x:c r="B12" s="40" t="str">
        <x:f>IF(B9&lt;=B10,"Within budget","Over budget")</x:f>
        <x:v>Over budget</x:v>
      </x:c>
      <x:c r="C12" s="2"/>
      <x:c r="D12" s="21" t="str">
        <x:v>Highlighted ingredients require a purchase.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</x:sheetData>
  <x:conditionalFormatting sqref="B9:B9">
    <x:cfRule type="expression" dxfId="2" priority="1">
      <x:formula>$B$9&gt;$B$10</x:formula>
    </x:cfRule>
  </x:conditionalFormatting>
  <x:conditionalFormatting sqref="B11:B11">
    <x:cfRule type="cellIs" dxfId="3" priority="2" operator="lessThan">
      <x:formula>0</x:formula>
    </x:cfRule>
  </x:conditionalFormatting>
  <x:conditionalFormatting sqref="B12:B12">
    <x:cfRule type="expression" dxfId="4" priority="3">
      <x:formula>$B$9&gt;$B$10</x:formula>
    </x:cfRule>
  </x:conditionalFormatting>
  <x:conditionalFormatting sqref="D6:G10">
    <x:cfRule type="expression" dxfId="5" priority="4">
      <x:formula>$G6&gt;0</x:formula>
    </x:cfRule>
  </x:conditionalFormatting>
  <x:pageMargins left="0.7" right="0.7" top="0.75" bottom="0.75" header="0.3" footer="0.3"/>
  <x:drawing xmlns:r="http://schemas.openxmlformats.org/officeDocument/2006/relationships" r:id="R656f9db4f7574f86"/>
</x:worksheet>
</file>