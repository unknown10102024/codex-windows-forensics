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Create\xlsx\021-030_sol_6_1_ultra\Run_022\"/>
    </mc:Choice>
  </mc:AlternateContent>
  <xr:revisionPtr revIDLastSave="0" documentId="13_ncr:1_{A1BEA5FA-8AEC-4A43-A947-53483BCD59B5}" xr6:coauthVersionLast="47" xr6:coauthVersionMax="47" xr10:uidLastSave="{00000000-0000-0000-0000-000000000000}"/>
  <bookViews>
    <workbookView xWindow="-120" yWindow="-120" windowWidth="38610" windowHeight="18720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4" l="1"/>
  <c r="B6" i="4"/>
  <c r="A11" i="3"/>
  <c r="A21" i="4" s="1"/>
  <c r="A10" i="3"/>
  <c r="A9" i="3"/>
  <c r="A19" i="4" s="1"/>
  <c r="A8" i="3"/>
  <c r="A7" i="3"/>
  <c r="A17" i="4" s="1"/>
  <c r="F3" i="3"/>
  <c r="B3" i="3"/>
  <c r="F11" i="2"/>
  <c r="G11" i="2" s="1"/>
  <c r="F10" i="2"/>
  <c r="G10" i="2" s="1"/>
  <c r="F9" i="2"/>
  <c r="G9" i="2" s="1"/>
  <c r="F8" i="2"/>
  <c r="G8" i="2" s="1"/>
  <c r="F7" i="2"/>
  <c r="G7" i="2" s="1"/>
  <c r="B4" i="2"/>
  <c r="J8" i="3" l="1"/>
  <c r="C18" i="4" s="1"/>
  <c r="J10" i="3"/>
  <c r="C20" i="4" s="1"/>
  <c r="C7" i="3"/>
  <c r="E7" i="3"/>
  <c r="C11" i="3"/>
  <c r="E11" i="3"/>
  <c r="A18" i="4"/>
  <c r="A20" i="4"/>
  <c r="C8" i="3"/>
  <c r="E8" i="3"/>
  <c r="C9" i="3"/>
  <c r="E9" i="3"/>
  <c r="C10" i="3"/>
  <c r="E10" i="3"/>
  <c r="B7" i="3"/>
  <c r="D7" i="3" s="1"/>
  <c r="G7" i="3" s="1"/>
  <c r="H7" i="3" s="1"/>
  <c r="F7" i="3"/>
  <c r="J7" i="3"/>
  <c r="B8" i="3"/>
  <c r="F8" i="3"/>
  <c r="B9" i="3"/>
  <c r="F9" i="3"/>
  <c r="J9" i="3"/>
  <c r="C19" i="4" s="1"/>
  <c r="B10" i="3"/>
  <c r="D10" i="3" s="1"/>
  <c r="G10" i="3" s="1"/>
  <c r="H10" i="3" s="1"/>
  <c r="B20" i="4" s="1"/>
  <c r="F10" i="3"/>
  <c r="B11" i="3"/>
  <c r="D11" i="3" s="1"/>
  <c r="G11" i="3" s="1"/>
  <c r="H11" i="3" s="1"/>
  <c r="B21" i="4" s="1"/>
  <c r="F11" i="3"/>
  <c r="J11" i="3"/>
  <c r="C21" i="4" s="1"/>
  <c r="B17" i="4" l="1"/>
  <c r="I10" i="3"/>
  <c r="I11" i="3"/>
  <c r="I7" i="3"/>
  <c r="D9" i="3"/>
  <c r="G9" i="3" s="1"/>
  <c r="H9" i="3" s="1"/>
  <c r="B19" i="4" s="1"/>
  <c r="D8" i="3"/>
  <c r="G8" i="3" s="1"/>
  <c r="H8" i="3" s="1"/>
  <c r="B18" i="4" s="1"/>
  <c r="C17" i="4"/>
  <c r="J13" i="3"/>
  <c r="B7" i="4" s="1"/>
  <c r="B8" i="4" s="1"/>
  <c r="I8" i="3" l="1"/>
  <c r="I9" i="3"/>
  <c r="H13" i="3"/>
  <c r="B9" i="4" s="1"/>
  <c r="B11" i="4" l="1"/>
  <c r="B12" i="4"/>
</calcChain>
</file>

<file path=xl/sharedStrings.xml><?xml version="1.0" encoding="utf-8"?>
<sst xmlns="http://schemas.openxmlformats.org/spreadsheetml/2006/main" count="58" uniqueCount="46">
  <si>
    <t>Carbonara meal setup</t>
  </si>
  <si>
    <t>Base recipe servings</t>
  </si>
  <si>
    <t>Desired servings</t>
  </si>
  <si>
    <t>Whole number from 1 to 20</t>
  </si>
  <si>
    <t>Shopping budget (USD)</t>
  </si>
  <si>
    <t>Zero or a positive amount</t>
  </si>
  <si>
    <t>Edit yellow cells to set the meal size and budget.</t>
  </si>
  <si>
    <t>Edit quantities, stock and package prices in Ingredients.</t>
  </si>
  <si>
    <t>Used cost values the ingredients consumed.</t>
  </si>
  <si>
    <t>Purchase cost includes the whole packages needed after stock.</t>
  </si>
  <si>
    <t>Carbonara ingredients</t>
  </si>
  <si>
    <t>Illustrative data supplied by the user. All quantities are in grams.</t>
  </si>
  <si>
    <t>Ingredient</t>
  </si>
  <si>
    <t>Base quantity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</si>
  <si>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</si>
  <si>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</si>
  <si>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</si>
  <si>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</si>
  <si>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</si>
  <si>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</si>
  <si>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</si>
  <si>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</si>
  <si>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</si>
  <si>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</si>
  <si>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Egg yolks are weighed without shells or egg whites.</t>
  </si>
  <si>
    <t>Yellow cells are editable inputs. Gray columns calculate the meal quantities and used cost.</t>
  </si>
  <si>
    <t>Carbonara shopping list</t>
  </si>
  <si>
    <t>Additional needed (g)</t>
  </si>
  <si>
    <t>Whole packages to buy</t>
  </si>
  <si>
    <t>Purchase cost (USD)</t>
  </si>
  <si>
    <t>Stock after cooking (g)</t>
  </si>
  <si>
    <t>Total cost (USD)</t>
  </si>
  <si>
    <t>Highlighted rows require a purchase. Zero-purchase ingredients stay visible.</t>
  </si>
  <si>
    <t>Stock after cooking = stock available + packages bought × package size − required quantity.</t>
  </si>
  <si>
    <t>Carbonara cost dashboard</t>
  </si>
  <si>
    <t>Meal summary</t>
  </si>
  <si>
    <t>Value</t>
  </si>
  <si>
    <t>Total used-ingredient cost</t>
  </si>
  <si>
    <t>Used cost per serving</t>
  </si>
  <si>
    <t>Total purchase cost</t>
  </si>
  <si>
    <t>Shopping budget</t>
  </si>
  <si>
    <t>Budget remaining</t>
  </si>
  <si>
    <t>Budget status</t>
  </si>
  <si>
    <t>Used cost (USD)</t>
  </si>
  <si>
    <t>Costs are in USD.</t>
  </si>
  <si>
    <t>Highlighted ingredients require a purchase.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</si>
</sst>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"/>
  </numFmts>
  <fonts count="9">
    <font>
      <sz val="11"/>
      <name val="Carlito"/>
    </font>
    <font>
      <sz val="11"/>
      <color rgb="FF243447"/>
      <name val="Arial"/>
    </font>
    <font>
      <b/>
      <sz val="16"/>
      <color rgb="FF20354C"/>
      <name val="Arial"/>
    </font>
    <font>
      <b/>
      <sz val="11"/>
      <color rgb="FF243447"/>
      <name val="Arial"/>
    </font>
    <font>
      <b/>
      <sz val="11"/>
      <color rgb="FF1A56A0"/>
      <name val="Arial"/>
    </font>
    <font>
      <sz val="11"/>
      <color rgb="FF586C80"/>
      <name val="Arial"/>
    </font>
    <font>
      <i/>
      <sz val="11"/>
      <color rgb="FF586C80"/>
      <name val="Arial"/>
    </font>
    <font>
      <sz val="11"/>
      <color rgb="FF1A56A0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5F8"/>
      </patternFill>
    </fill>
    <fill>
      <patternFill patternType="solid">
        <fgColor rgb="FFFFF2CC"/>
      </patternFill>
    </fill>
    <fill>
      <patternFill patternType="solid">
        <fgColor rgb="FF20354C"/>
      </patternFill>
    </fill>
  </fills>
  <borders count="6">
    <border>
      <left/>
      <right/>
      <top/>
      <bottom/>
      <diagonal/>
    </border>
    <border>
      <left/>
      <right/>
      <top/>
      <bottom style="thin">
        <color rgb="FFB5C2CE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B5C2CE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 vertical="center"/>
    </xf>
    <xf numFmtId="1" fontId="4" fillId="3" borderId="0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4" borderId="3" xfId="0" applyNumberFormat="1" applyFont="1" applyFill="1" applyBorder="1" applyAlignment="1">
      <alignment horizontal="center" vertical="center" wrapText="1"/>
    </xf>
    <xf numFmtId="0" fontId="8" fillId="4" borderId="4" xfId="0" applyNumberFormat="1" applyFont="1" applyFill="1" applyBorder="1" applyAlignment="1">
      <alignment horizontal="center" vertical="center" wrapText="1"/>
    </xf>
    <xf numFmtId="165" fontId="7" fillId="3" borderId="0" xfId="0" applyNumberFormat="1" applyFont="1" applyFill="1" applyBorder="1" applyAlignment="1">
      <alignment horizontal="right" vertical="center"/>
    </xf>
    <xf numFmtId="165" fontId="1" fillId="2" borderId="0" xfId="0" applyNumberFormat="1" applyFont="1" applyFill="1" applyBorder="1" applyAlignment="1">
      <alignment horizontal="right" vertical="center"/>
    </xf>
    <xf numFmtId="164" fontId="7" fillId="3" borderId="0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165" fontId="1" fillId="0" borderId="0" xfId="0" applyNumberFormat="1" applyFont="1" applyFill="1" applyBorder="1" applyAlignment="1">
      <alignment horizontal="right" vertical="center"/>
    </xf>
    <xf numFmtId="1" fontId="1" fillId="0" borderId="0" xfId="0" applyNumberFormat="1" applyFont="1" applyFill="1" applyBorder="1" applyAlignment="1">
      <alignment horizontal="right" vertical="center"/>
    </xf>
    <xf numFmtId="0" fontId="3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horizontal="right" vertical="center"/>
    </xf>
    <xf numFmtId="0" fontId="3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5">
    <dxf>
      <font>
        <color rgb="FF6E4300"/>
      </font>
      <fill>
        <patternFill patternType="solid">
          <bgColor rgb="FFFFF0D9"/>
        </patternFill>
      </fill>
    </dxf>
    <dxf>
      <font>
        <b/>
        <color rgb="FFA61C23"/>
      </font>
      <fill>
        <patternFill patternType="solid">
          <bgColor rgb="FFFDE7E7"/>
        </patternFill>
      </fill>
    </dxf>
    <dxf>
      <font>
        <b/>
        <color rgb="FFA61C23"/>
      </font>
      <fill>
        <patternFill patternType="solid">
          <bgColor rgb="FFFDE7E7"/>
        </patternFill>
      </fill>
    </dxf>
    <dxf>
      <font>
        <b/>
        <color rgb="FFA61C23"/>
      </font>
      <fill>
        <patternFill patternType="solid">
          <bgColor rgb="FFFDE7E7"/>
        </patternFill>
      </fill>
    </dxf>
    <dxf>
      <font>
        <color rgb="FF6E4300"/>
      </font>
      <fill>
        <patternFill patternType="solid">
          <bgColor rgb="FFFF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476C92"/>
            </a:solidFill>
          </c:spPr>
          <c:invertIfNegative val="1"/>
          <c:cat>
            <c:strRef>
              <c:f>Dashboard!$A$17:$A$21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Dashboard!$B$17:$B$21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49B-4F12-AB33-F2FC56A57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 cost (USD)</c:v>
          </c:tx>
          <c:cat>
            <c:strRef>
              <c:f>Dashboard!$A$17:$A$21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Dashboard!$C$17:$C$21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8-414D-BFC5-423499065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r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Data" displayName="IngredientData" ref="A6:G11" totalsRowShown="0">
  <autoFilter ref="A6:G11" xr:uid="{00000000-0009-0000-0100-000001000000}"/>
  <tableColumns count="7">
    <tableColumn id="1" xr3:uid="{00000000-0010-0000-0000-000001000000}" name="Ingredient"/>
    <tableColumn id="2" xr3:uid="{00000000-0010-0000-0000-000002000000}" name="Base quantity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7B15E"/>
  </sheetPr>
  <dimension ref="A1:D15"/>
  <sheetViews>
    <sheetView showGridLines="0" tabSelected="1" workbookViewId="0"/>
  </sheetViews>
  <sheetFormatPr defaultRowHeight="14.25"/>
  <cols>
    <col min="1" max="1" width="35" customWidth="1"/>
    <col min="2" max="2" width="16" customWidth="1"/>
    <col min="3" max="3" width="4" customWidth="1"/>
    <col min="4" max="4" width="47" customWidth="1"/>
  </cols>
  <sheetData>
    <row r="1" spans="1:4" ht="24" customHeight="1">
      <c r="A1" s="1"/>
      <c r="B1" s="1"/>
      <c r="C1" s="1"/>
      <c r="D1" s="1"/>
    </row>
    <row r="2" spans="1:4" ht="24" customHeight="1">
      <c r="A2" s="2" t="s">
        <v>0</v>
      </c>
      <c r="B2" s="1"/>
      <c r="C2" s="1"/>
      <c r="D2" s="1"/>
    </row>
    <row r="3" spans="1:4" ht="24" customHeight="1">
      <c r="A3" s="3"/>
      <c r="B3" s="3"/>
      <c r="C3" s="3"/>
      <c r="D3" s="3"/>
    </row>
    <row r="4" spans="1:4" ht="24" customHeight="1">
      <c r="A4" s="1"/>
      <c r="B4" s="1"/>
      <c r="C4" s="1"/>
      <c r="D4" s="1"/>
    </row>
    <row r="5" spans="1:4" ht="24" customHeight="1">
      <c r="A5" s="4" t="s">
        <v>1</v>
      </c>
      <c r="B5" s="6">
        <v>2</v>
      </c>
      <c r="C5" s="1"/>
      <c r="D5" s="1"/>
    </row>
    <row r="6" spans="1:4" ht="24" customHeight="1">
      <c r="A6" s="4" t="s">
        <v>2</v>
      </c>
      <c r="B6" s="7">
        <v>6</v>
      </c>
      <c r="C6" s="1"/>
      <c r="D6" s="9" t="s">
        <v>3</v>
      </c>
    </row>
    <row r="7" spans="1:4" ht="24" customHeight="1">
      <c r="A7" s="4" t="s">
        <v>4</v>
      </c>
      <c r="B7" s="8">
        <v>20</v>
      </c>
      <c r="C7" s="1"/>
      <c r="D7" s="9" t="s">
        <v>5</v>
      </c>
    </row>
    <row r="8" spans="1:4" ht="24" customHeight="1">
      <c r="A8" s="1"/>
      <c r="B8" s="1"/>
      <c r="C8" s="1"/>
      <c r="D8" s="1"/>
    </row>
    <row r="9" spans="1:4" ht="24" customHeight="1">
      <c r="A9" s="1"/>
      <c r="B9" s="1"/>
      <c r="C9" s="1"/>
      <c r="D9" s="1"/>
    </row>
    <row r="10" spans="1:4" ht="24" customHeight="1">
      <c r="A10" s="1" t="s">
        <v>6</v>
      </c>
      <c r="B10" s="1"/>
      <c r="C10" s="1"/>
      <c r="D10" s="1"/>
    </row>
    <row r="11" spans="1:4" ht="24" customHeight="1">
      <c r="A11" s="1" t="s">
        <v>7</v>
      </c>
      <c r="B11" s="1"/>
      <c r="C11" s="1"/>
      <c r="D11" s="1"/>
    </row>
    <row r="12" spans="1:4" ht="24" customHeight="1">
      <c r="A12" s="1"/>
      <c r="B12" s="1"/>
      <c r="C12" s="1"/>
      <c r="D12" s="1"/>
    </row>
    <row r="13" spans="1:4" ht="24" customHeight="1">
      <c r="A13" s="1" t="s">
        <v>8</v>
      </c>
      <c r="B13" s="1"/>
      <c r="C13" s="1"/>
      <c r="D13" s="1"/>
    </row>
    <row r="14" spans="1:4" ht="24" customHeight="1">
      <c r="A14" s="1" t="s">
        <v>9</v>
      </c>
      <c r="B14" s="1"/>
      <c r="C14" s="1"/>
      <c r="D14" s="1"/>
    </row>
    <row r="15" spans="1:4" ht="24" customHeight="1">
      <c r="A15" s="1"/>
      <c r="B15" s="1"/>
      <c r="C15" s="1"/>
      <c r="D15" s="1"/>
    </row>
  </sheetData>
  <dataValidations count="2">
    <dataValidation type="whole" showErrorMessage="1" errorTitle="Invalid input" error="Enter a whole number from 1 through 20." sqref="B6" xr:uid="{00000000-0002-0000-0000-000000000000}">
      <formula1>1</formula1>
      <formula2>20</formula2>
    </dataValidation>
    <dataValidation type="decimal" operator="greaterThanOrEqual" showErrorMessage="1" errorTitle="Invalid input" error="Enter a nonnegative shopping budget." sqref="B7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9DAF"/>
  </sheetPr>
  <dimension ref="A1:G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4.25"/>
  <cols>
    <col min="1" max="1" width="25" customWidth="1"/>
    <col min="2" max="6" width="19" customWidth="1"/>
    <col min="7" max="7" width="23" customWidth="1"/>
  </cols>
  <sheetData>
    <row r="1" spans="1:7" ht="24" customHeight="1">
      <c r="A1" s="1"/>
      <c r="B1" s="1"/>
      <c r="C1" s="1"/>
      <c r="D1" s="1"/>
      <c r="E1" s="1"/>
      <c r="F1" s="1"/>
      <c r="G1" s="1"/>
    </row>
    <row r="2" spans="1:7" ht="24" customHeight="1">
      <c r="A2" s="2" t="s">
        <v>10</v>
      </c>
      <c r="B2" s="1"/>
      <c r="C2" s="1"/>
      <c r="D2" s="1"/>
      <c r="E2" s="1"/>
      <c r="F2" s="1"/>
      <c r="G2" s="1"/>
    </row>
    <row r="3" spans="1:7" ht="24" customHeight="1">
      <c r="A3" s="10" t="s">
        <v>11</v>
      </c>
      <c r="B3" s="1"/>
      <c r="C3" s="1"/>
      <c r="D3" s="1"/>
      <c r="E3" s="1"/>
      <c r="F3" s="1"/>
      <c r="G3" s="1"/>
    </row>
    <row r="4" spans="1:7" ht="24" customHeight="1">
      <c r="A4" s="3" t="s">
        <v>1</v>
      </c>
      <c r="B4" s="3">
        <f>Setup!$B$5</f>
        <v>2</v>
      </c>
      <c r="C4" s="3"/>
      <c r="D4" s="3"/>
      <c r="E4" s="3"/>
      <c r="F4" s="3"/>
      <c r="G4" s="3"/>
    </row>
    <row r="5" spans="1:7" ht="24" customHeight="1">
      <c r="A5" s="1"/>
      <c r="B5" s="1"/>
      <c r="C5" s="1"/>
      <c r="D5" s="1"/>
      <c r="E5" s="1"/>
      <c r="F5" s="1"/>
      <c r="G5" s="1"/>
    </row>
    <row r="6" spans="1:7" ht="44.1" customHeight="1">
      <c r="A6" s="11" t="s">
        <v>12</v>
      </c>
      <c r="B6" s="12" t="s">
        <v>13</v>
      </c>
      <c r="C6" s="12" t="s">
        <v>14</v>
      </c>
      <c r="D6" s="12" t="s">
        <v>15</v>
      </c>
      <c r="E6" s="12" t="s">
        <v>16</v>
      </c>
      <c r="F6" s="12" t="s">
        <v>17</v>
      </c>
      <c r="G6" s="13" t="s">
        <v>18</v>
      </c>
    </row>
    <row r="7" spans="1:7" ht="24" customHeight="1">
      <c r="A7" s="5" t="s">
        <v>19</v>
      </c>
      <c r="B7" s="14">
        <v>200</v>
      </c>
      <c r="C7" s="14">
        <v>100</v>
      </c>
      <c r="D7" s="14">
        <v>500</v>
      </c>
      <c r="E7" s="16">
        <v>2.5</v>
      </c>
      <c r="F7" s="15">
        <f>B7*Setup!$B$6/Setup!$B$5</f>
        <v>600</v>
      </c>
      <c r="G7" s="17">
        <f>F7/D7*E7</f>
        <v>3</v>
      </c>
    </row>
    <row r="8" spans="1:7" ht="24" customHeight="1">
      <c r="A8" s="5" t="s">
        <v>20</v>
      </c>
      <c r="B8" s="14">
        <v>80</v>
      </c>
      <c r="C8" s="14">
        <v>20</v>
      </c>
      <c r="D8" s="14">
        <v>100</v>
      </c>
      <c r="E8" s="16">
        <v>4</v>
      </c>
      <c r="F8" s="15">
        <f>B8*Setup!$B$6/Setup!$B$5</f>
        <v>240</v>
      </c>
      <c r="G8" s="17">
        <f>F8/D8*E8</f>
        <v>9.6</v>
      </c>
    </row>
    <row r="9" spans="1:7" ht="24" customHeight="1">
      <c r="A9" s="5" t="s">
        <v>21</v>
      </c>
      <c r="B9" s="14">
        <v>36</v>
      </c>
      <c r="C9" s="14">
        <v>0</v>
      </c>
      <c r="D9" s="14">
        <v>36</v>
      </c>
      <c r="E9" s="16">
        <v>0.54</v>
      </c>
      <c r="F9" s="15">
        <f>B9*Setup!$B$6/Setup!$B$5</f>
        <v>108</v>
      </c>
      <c r="G9" s="17">
        <f>F9/D9*E9</f>
        <v>1.62</v>
      </c>
    </row>
    <row r="10" spans="1:7" ht="24" customHeight="1">
      <c r="A10" s="5" t="s">
        <v>22</v>
      </c>
      <c r="B10" s="14">
        <v>40</v>
      </c>
      <c r="C10" s="14">
        <v>10</v>
      </c>
      <c r="D10" s="14">
        <v>100</v>
      </c>
      <c r="E10" s="16">
        <v>3.5</v>
      </c>
      <c r="F10" s="15">
        <f>B10*Setup!$B$6/Setup!$B$5</f>
        <v>120</v>
      </c>
      <c r="G10" s="17">
        <f>F10/D10*E10</f>
        <v>4.2</v>
      </c>
    </row>
    <row r="11" spans="1:7" ht="24" customHeight="1">
      <c r="A11" s="5" t="s">
        <v>23</v>
      </c>
      <c r="B11" s="14">
        <v>1</v>
      </c>
      <c r="C11" s="14">
        <v>2</v>
      </c>
      <c r="D11" s="14">
        <v>50</v>
      </c>
      <c r="E11" s="16">
        <v>2.5</v>
      </c>
      <c r="F11" s="15">
        <f>B11*Setup!$B$6/Setup!$B$5</f>
        <v>3</v>
      </c>
      <c r="G11" s="17">
        <f>F11/D11*E11</f>
        <v>0.15</v>
      </c>
    </row>
    <row r="12" spans="1:7" ht="24" customHeight="1">
      <c r="A12" s="1"/>
      <c r="B12" s="1"/>
      <c r="C12" s="1"/>
      <c r="D12" s="1"/>
      <c r="E12" s="1"/>
      <c r="F12" s="1"/>
      <c r="G12" s="1"/>
    </row>
    <row r="13" spans="1:7" ht="24" customHeight="1">
      <c r="A13" s="1"/>
      <c r="B13" s="1"/>
      <c r="C13" s="1"/>
      <c r="D13" s="1"/>
      <c r="E13" s="1"/>
      <c r="F13" s="1"/>
      <c r="G13" s="1"/>
    </row>
    <row r="14" spans="1:7" ht="24" customHeight="1">
      <c r="A14" s="1" t="s">
        <v>24</v>
      </c>
      <c r="B14" s="1"/>
      <c r="C14" s="1"/>
      <c r="D14" s="1"/>
      <c r="E14" s="1"/>
      <c r="F14" s="1"/>
      <c r="G14" s="1"/>
    </row>
    <row r="15" spans="1:7" ht="24" customHeight="1">
      <c r="A15" s="1" t="s">
        <v>25</v>
      </c>
      <c r="B15" s="1"/>
      <c r="C15" s="1"/>
      <c r="D15" s="1"/>
      <c r="E15" s="1"/>
      <c r="F15" s="1"/>
      <c r="G15" s="1"/>
    </row>
    <row r="16" spans="1:7" ht="24" customHeight="1">
      <c r="A16" s="1"/>
      <c r="B16" s="1"/>
      <c r="C16" s="1"/>
      <c r="D16" s="1"/>
      <c r="E16" s="1"/>
      <c r="F16" s="1"/>
      <c r="G16" s="1"/>
    </row>
  </sheetData>
  <dataValidations count="3">
    <dataValidation type="decimal" operator="greaterThanOrEqual" showErrorMessage="1" errorTitle="Invalid input" error="Enter zero or a positive quantity in grams." sqref="B7:C11" xr:uid="{00000000-0002-0000-0100-000000000000}">
      <formula1>0</formula1>
    </dataValidation>
    <dataValidation type="decimal" operator="greaterThan" showErrorMessage="1" errorTitle="Invalid input" error="Enter a package size greater than zero." sqref="D7:D11" xr:uid="{00000000-0002-0000-0100-000001000000}">
      <formula1>0</formula1>
    </dataValidation>
    <dataValidation type="decimal" operator="greaterThanOrEqual" showErrorMessage="1" errorTitle="Invalid input" error="Enter zero or a positive package price." sqref="E7:E11" xr:uid="{00000000-0002-0000-0100-000002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76C92"/>
  </sheetPr>
  <dimension ref="A1:J1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4.25"/>
  <cols>
    <col min="1" max="1" width="25" customWidth="1"/>
    <col min="2" max="10" width="18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>
      <c r="A2" s="2" t="s">
        <v>26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 t="s">
        <v>2</v>
      </c>
      <c r="B3" s="1">
        <f>Setup!$B$6</f>
        <v>6</v>
      </c>
      <c r="C3" s="1"/>
      <c r="D3" s="1" t="s">
        <v>4</v>
      </c>
      <c r="E3" s="1"/>
      <c r="F3" s="18">
        <f>Setup!$B$7</f>
        <v>20</v>
      </c>
      <c r="G3" s="1"/>
      <c r="H3" s="1"/>
      <c r="I3" s="1"/>
      <c r="J3" s="1"/>
    </row>
    <row r="4" spans="1:10" ht="24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4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44.1" customHeight="1">
      <c r="A6" s="11" t="s">
        <v>12</v>
      </c>
      <c r="B6" s="12" t="s">
        <v>17</v>
      </c>
      <c r="C6" s="12" t="s">
        <v>14</v>
      </c>
      <c r="D6" s="12" t="s">
        <v>27</v>
      </c>
      <c r="E6" s="12" t="s">
        <v>15</v>
      </c>
      <c r="F6" s="12" t="s">
        <v>16</v>
      </c>
      <c r="G6" s="12" t="s">
        <v>28</v>
      </c>
      <c r="H6" s="12" t="s">
        <v>29</v>
      </c>
      <c r="I6" s="12" t="s">
        <v>30</v>
      </c>
      <c r="J6" s="13" t="s">
        <v>18</v>
      </c>
    </row>
    <row r="7" spans="1:10" ht="24" customHeight="1">
      <c r="A7" s="1" t="str">
        <f>INDEX(Ingredients!$A$7:$A$11,ROWS($A$7:A7))</f>
        <v>Spaghetti (dry)</v>
      </c>
      <c r="B7" s="19">
        <f>INDEX(Ingredients!$F$7:$F$11,MATCH($A7,Ingredients!$A$7:$A$11,0))</f>
        <v>600</v>
      </c>
      <c r="C7" s="19">
        <f>INDEX(Ingredients!$C$7:$C$11,MATCH($A7,Ingredients!$A$7:$A$11,0))</f>
        <v>100</v>
      </c>
      <c r="D7" s="19">
        <f>MAX(0,B7-C7)</f>
        <v>500</v>
      </c>
      <c r="E7" s="19">
        <f>INDEX(Ingredients!$D$7:$D$11,MATCH($A7,Ingredients!$A$7:$A$11,0))</f>
        <v>500</v>
      </c>
      <c r="F7" s="18">
        <f>INDEX(Ingredients!$E$7:$E$11,MATCH($A7,Ingredients!$A$7:$A$11,0))</f>
        <v>2.5</v>
      </c>
      <c r="G7" s="20">
        <f>ROUNDUP(D7/E7,0)</f>
        <v>1</v>
      </c>
      <c r="H7" s="18">
        <f>G7*F7</f>
        <v>2.5</v>
      </c>
      <c r="I7" s="19">
        <f>C7+G7*E7-B7</f>
        <v>0</v>
      </c>
      <c r="J7" s="18">
        <f>INDEX(Ingredients!$G$7:$G$11,MATCH($A7,Ingredients!$A$7:$A$11,0))</f>
        <v>3</v>
      </c>
    </row>
    <row r="8" spans="1:10" ht="24" customHeight="1">
      <c r="A8" s="1" t="str">
        <f>INDEX(Ingredients!$A$7:$A$11,ROWS($A$7:A8))</f>
        <v>Guanciale</v>
      </c>
      <c r="B8" s="19">
        <f>INDEX(Ingredients!$F$7:$F$11,MATCH($A8,Ingredients!$A$7:$A$11,0))</f>
        <v>240</v>
      </c>
      <c r="C8" s="19">
        <f>INDEX(Ingredients!$C$7:$C$11,MATCH($A8,Ingredients!$A$7:$A$11,0))</f>
        <v>20</v>
      </c>
      <c r="D8" s="19">
        <f>MAX(0,B8-C8)</f>
        <v>220</v>
      </c>
      <c r="E8" s="19">
        <f>INDEX(Ingredients!$D$7:$D$11,MATCH($A8,Ingredients!$A$7:$A$11,0))</f>
        <v>100</v>
      </c>
      <c r="F8" s="18">
        <f>INDEX(Ingredients!$E$7:$E$11,MATCH($A8,Ingredients!$A$7:$A$11,0))</f>
        <v>4</v>
      </c>
      <c r="G8" s="20">
        <f>ROUNDUP(D8/E8,0)</f>
        <v>3</v>
      </c>
      <c r="H8" s="18">
        <f>G8*F8</f>
        <v>12</v>
      </c>
      <c r="I8" s="19">
        <f>C8+G8*E8-B8</f>
        <v>80</v>
      </c>
      <c r="J8" s="18">
        <f>INDEX(Ingredients!$G$7:$G$11,MATCH($A8,Ingredients!$A$7:$A$11,0))</f>
        <v>9.6</v>
      </c>
    </row>
    <row r="9" spans="1:10" ht="24" customHeight="1">
      <c r="A9" s="1" t="str">
        <f>INDEX(Ingredients!$A$7:$A$11,ROWS($A$7:A9))</f>
        <v>Egg yolks</v>
      </c>
      <c r="B9" s="19">
        <f>INDEX(Ingredients!$F$7:$F$11,MATCH($A9,Ingredients!$A$7:$A$11,0))</f>
        <v>108</v>
      </c>
      <c r="C9" s="19">
        <f>INDEX(Ingredients!$C$7:$C$11,MATCH($A9,Ingredients!$A$7:$A$11,0))</f>
        <v>0</v>
      </c>
      <c r="D9" s="19">
        <f>MAX(0,B9-C9)</f>
        <v>108</v>
      </c>
      <c r="E9" s="19">
        <f>INDEX(Ingredients!$D$7:$D$11,MATCH($A9,Ingredients!$A$7:$A$11,0))</f>
        <v>36</v>
      </c>
      <c r="F9" s="18">
        <f>INDEX(Ingredients!$E$7:$E$11,MATCH($A9,Ingredients!$A$7:$A$11,0))</f>
        <v>0.54</v>
      </c>
      <c r="G9" s="20">
        <f>ROUNDUP(D9/E9,0)</f>
        <v>3</v>
      </c>
      <c r="H9" s="18">
        <f>G9*F9</f>
        <v>1.62</v>
      </c>
      <c r="I9" s="19">
        <f>C9+G9*E9-B9</f>
        <v>0</v>
      </c>
      <c r="J9" s="18">
        <f>INDEX(Ingredients!$G$7:$G$11,MATCH($A9,Ingredients!$A$7:$A$11,0))</f>
        <v>1.62</v>
      </c>
    </row>
    <row r="10" spans="1:10" ht="24" customHeight="1">
      <c r="A10" s="1" t="str">
        <f>INDEX(Ingredients!$A$7:$A$11,ROWS($A$7:A10))</f>
        <v>Pecorino Romano</v>
      </c>
      <c r="B10" s="19">
        <f>INDEX(Ingredients!$F$7:$F$11,MATCH($A10,Ingredients!$A$7:$A$11,0))</f>
        <v>120</v>
      </c>
      <c r="C10" s="19">
        <f>INDEX(Ingredients!$C$7:$C$11,MATCH($A10,Ingredients!$A$7:$A$11,0))</f>
        <v>10</v>
      </c>
      <c r="D10" s="19">
        <f>MAX(0,B10-C10)</f>
        <v>110</v>
      </c>
      <c r="E10" s="19">
        <f>INDEX(Ingredients!$D$7:$D$11,MATCH($A10,Ingredients!$A$7:$A$11,0))</f>
        <v>100</v>
      </c>
      <c r="F10" s="18">
        <f>INDEX(Ingredients!$E$7:$E$11,MATCH($A10,Ingredients!$A$7:$A$11,0))</f>
        <v>3.5</v>
      </c>
      <c r="G10" s="20">
        <f>ROUNDUP(D10/E10,0)</f>
        <v>2</v>
      </c>
      <c r="H10" s="18">
        <f>G10*F10</f>
        <v>7</v>
      </c>
      <c r="I10" s="19">
        <f>C10+G10*E10-B10</f>
        <v>90</v>
      </c>
      <c r="J10" s="18">
        <f>INDEX(Ingredients!$G$7:$G$11,MATCH($A10,Ingredients!$A$7:$A$11,0))</f>
        <v>4.2</v>
      </c>
    </row>
    <row r="11" spans="1:10" ht="24" customHeight="1">
      <c r="A11" s="1" t="str">
        <f>INDEX(Ingredients!$A$7:$A$11,ROWS($A$7:A11))</f>
        <v>Black pepper</v>
      </c>
      <c r="B11" s="19">
        <f>INDEX(Ingredients!$F$7:$F$11,MATCH($A11,Ingredients!$A$7:$A$11,0))</f>
        <v>3</v>
      </c>
      <c r="C11" s="19">
        <f>INDEX(Ingredients!$C$7:$C$11,MATCH($A11,Ingredients!$A$7:$A$11,0))</f>
        <v>2</v>
      </c>
      <c r="D11" s="19">
        <f>MAX(0,B11-C11)</f>
        <v>1</v>
      </c>
      <c r="E11" s="19">
        <f>INDEX(Ingredients!$D$7:$D$11,MATCH($A11,Ingredients!$A$7:$A$11,0))</f>
        <v>50</v>
      </c>
      <c r="F11" s="18">
        <f>INDEX(Ingredients!$E$7:$E$11,MATCH($A11,Ingredients!$A$7:$A$11,0))</f>
        <v>2.5</v>
      </c>
      <c r="G11" s="20">
        <f>ROUNDUP(D11/E11,0)</f>
        <v>1</v>
      </c>
      <c r="H11" s="18">
        <f>G11*F11</f>
        <v>2.5</v>
      </c>
      <c r="I11" s="19">
        <f>C11+G11*E11-B11</f>
        <v>49</v>
      </c>
      <c r="J11" s="18">
        <f>INDEX(Ingredients!$G$7:$G$11,MATCH($A11,Ingredients!$A$7:$A$11,0))</f>
        <v>0.15</v>
      </c>
    </row>
    <row r="12" spans="1:10" ht="24" customHeight="1">
      <c r="A12" s="1"/>
      <c r="B12" s="1"/>
      <c r="C12" s="1"/>
      <c r="D12" s="1"/>
      <c r="E12" s="1"/>
      <c r="F12" s="1"/>
      <c r="G12" s="1"/>
      <c r="H12" s="18"/>
      <c r="I12" s="1"/>
      <c r="J12" s="18"/>
    </row>
    <row r="13" spans="1:10" ht="24" customHeight="1">
      <c r="A13" s="21" t="s">
        <v>31</v>
      </c>
      <c r="B13" s="21"/>
      <c r="C13" s="21"/>
      <c r="D13" s="21"/>
      <c r="E13" s="21"/>
      <c r="F13" s="21"/>
      <c r="G13" s="21"/>
      <c r="H13" s="22">
        <f>SUM(H7:H11)</f>
        <v>25.62</v>
      </c>
      <c r="I13" s="21"/>
      <c r="J13" s="22">
        <f>SUM(J7:J11)</f>
        <v>18.569999999999997</v>
      </c>
    </row>
    <row r="14" spans="1:10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4" customHeight="1">
      <c r="A15" s="1" t="s">
        <v>32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4" customHeight="1">
      <c r="A16" s="1" t="s">
        <v>33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conditionalFormatting sqref="A7:J11">
    <cfRule type="expression" dxfId="4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0354C"/>
  </sheetPr>
  <dimension ref="A1:K35"/>
  <sheetViews>
    <sheetView showGridLines="0" workbookViewId="0"/>
  </sheetViews>
  <sheetFormatPr defaultRowHeight="14.25"/>
  <cols>
    <col min="1" max="1" width="34" customWidth="1"/>
    <col min="2" max="3" width="16" customWidth="1"/>
    <col min="4" max="4" width="3" customWidth="1"/>
    <col min="5" max="11" width="12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>
      <c r="A2" s="2" t="s">
        <v>34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.1" customHeight="1">
      <c r="A5" s="11" t="s">
        <v>35</v>
      </c>
      <c r="B5" s="13" t="s">
        <v>36</v>
      </c>
      <c r="C5" s="1"/>
      <c r="D5" s="1"/>
      <c r="E5" s="1"/>
      <c r="F5" s="1"/>
      <c r="G5" s="1"/>
      <c r="H5" s="1"/>
      <c r="I5" s="1"/>
      <c r="J5" s="1"/>
      <c r="K5" s="1"/>
    </row>
    <row r="6" spans="1:11" ht="29.1" customHeight="1">
      <c r="A6" s="1" t="s">
        <v>2</v>
      </c>
      <c r="B6" s="20">
        <f>Setup!$B$6</f>
        <v>6</v>
      </c>
      <c r="C6" s="1"/>
      <c r="D6" s="1"/>
      <c r="E6" s="1"/>
      <c r="F6" s="1"/>
      <c r="G6" s="1"/>
      <c r="H6" s="1"/>
      <c r="I6" s="1"/>
      <c r="J6" s="1"/>
      <c r="K6" s="1"/>
    </row>
    <row r="7" spans="1:11" ht="29.1" customHeight="1">
      <c r="A7" s="1" t="s">
        <v>37</v>
      </c>
      <c r="B7" s="18">
        <f>ShoppingList!$J$13</f>
        <v>18.569999999999997</v>
      </c>
      <c r="C7" s="1"/>
      <c r="D7" s="1"/>
      <c r="E7" s="1"/>
      <c r="F7" s="1"/>
      <c r="G7" s="1"/>
      <c r="H7" s="1"/>
      <c r="I7" s="1"/>
      <c r="J7" s="1"/>
      <c r="K7" s="1"/>
    </row>
    <row r="8" spans="1:11" ht="29.1" customHeight="1">
      <c r="A8" s="1" t="s">
        <v>38</v>
      </c>
      <c r="B8" s="18">
        <f>ROUND(ROUND(B7/B6,10),2)</f>
        <v>3.1</v>
      </c>
      <c r="C8" s="1"/>
      <c r="D8" s="1"/>
      <c r="E8" s="1"/>
      <c r="F8" s="1"/>
      <c r="G8" s="1"/>
      <c r="H8" s="1"/>
      <c r="I8" s="1"/>
      <c r="J8" s="1"/>
      <c r="K8" s="1"/>
    </row>
    <row r="9" spans="1:11" ht="29.1" customHeight="1">
      <c r="A9" s="1" t="s">
        <v>39</v>
      </c>
      <c r="B9" s="18">
        <f>ShoppingList!$H$13</f>
        <v>25.62</v>
      </c>
      <c r="C9" s="1"/>
      <c r="D9" s="1"/>
      <c r="E9" s="1"/>
      <c r="F9" s="1"/>
      <c r="G9" s="1"/>
      <c r="H9" s="1"/>
      <c r="I9" s="1"/>
      <c r="J9" s="1"/>
      <c r="K9" s="1"/>
    </row>
    <row r="10" spans="1:11" ht="29.1" customHeight="1">
      <c r="A10" s="1" t="s">
        <v>40</v>
      </c>
      <c r="B10" s="18">
        <f>Setup!$B$7</f>
        <v>20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29.1" customHeight="1">
      <c r="A11" s="1" t="s">
        <v>41</v>
      </c>
      <c r="B11" s="18">
        <f>B10-B9</f>
        <v>-5.620000000000001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29.1" customHeight="1">
      <c r="A12" s="1" t="s">
        <v>42</v>
      </c>
      <c r="B12" s="23" t="str">
        <f>IF(B9&lt;=B10,"Within budget","Over budget")</f>
        <v>Over budget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44.1" customHeight="1">
      <c r="A16" s="11" t="s">
        <v>12</v>
      </c>
      <c r="B16" s="12" t="s">
        <v>29</v>
      </c>
      <c r="C16" s="13" t="s">
        <v>43</v>
      </c>
      <c r="D16" s="1"/>
      <c r="E16" s="1"/>
      <c r="F16" s="1"/>
      <c r="G16" s="1"/>
      <c r="H16" s="1"/>
      <c r="I16" s="1"/>
      <c r="J16" s="1"/>
      <c r="K16" s="1"/>
    </row>
    <row r="17" spans="1:11" ht="24" customHeight="1">
      <c r="A17" s="1" t="str">
        <f>ShoppingList!A7</f>
        <v>Spaghetti (dry)</v>
      </c>
      <c r="B17" s="18">
        <f>ShoppingList!H7</f>
        <v>2.5</v>
      </c>
      <c r="C17" s="18">
        <f>ShoppingList!J7</f>
        <v>3</v>
      </c>
      <c r="D17" s="1"/>
      <c r="E17" s="1"/>
      <c r="F17" s="1"/>
      <c r="G17" s="1"/>
      <c r="H17" s="1"/>
      <c r="I17" s="1"/>
      <c r="J17" s="1"/>
      <c r="K17" s="1"/>
    </row>
    <row r="18" spans="1:11" ht="24" customHeight="1">
      <c r="A18" s="1" t="str">
        <f>ShoppingList!A8</f>
        <v>Guanciale</v>
      </c>
      <c r="B18" s="18">
        <f>ShoppingList!H8</f>
        <v>12</v>
      </c>
      <c r="C18" s="18">
        <f>ShoppingList!J8</f>
        <v>9.6</v>
      </c>
      <c r="D18" s="1"/>
      <c r="E18" s="1"/>
      <c r="F18" s="1"/>
      <c r="G18" s="1"/>
      <c r="H18" s="1"/>
      <c r="I18" s="1"/>
      <c r="J18" s="1"/>
      <c r="K18" s="1"/>
    </row>
    <row r="19" spans="1:11" ht="24" customHeight="1">
      <c r="A19" s="1" t="str">
        <f>ShoppingList!A9</f>
        <v>Egg yolks</v>
      </c>
      <c r="B19" s="18">
        <f>ShoppingList!H9</f>
        <v>1.62</v>
      </c>
      <c r="C19" s="18">
        <f>ShoppingList!J9</f>
        <v>1.62</v>
      </c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1" t="str">
        <f>ShoppingList!A10</f>
        <v>Pecorino Romano</v>
      </c>
      <c r="B20" s="18">
        <f>ShoppingList!H10</f>
        <v>7</v>
      </c>
      <c r="C20" s="18">
        <f>ShoppingList!J10</f>
        <v>4.2</v>
      </c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1" t="str">
        <f>ShoppingList!A11</f>
        <v>Black pepper</v>
      </c>
      <c r="B21" s="18">
        <f>ShoppingList!H11</f>
        <v>2.5</v>
      </c>
      <c r="C21" s="18">
        <f>ShoppingList!J11</f>
        <v>0.15</v>
      </c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0" t="s">
        <v>44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10" t="s">
        <v>45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conditionalFormatting sqref="B9">
    <cfRule type="expression" dxfId="3" priority="1">
      <formula>$B$9&gt;$B$10</formula>
    </cfRule>
  </conditionalFormatting>
  <conditionalFormatting sqref="B11">
    <cfRule type="cellIs" dxfId="2" priority="2" operator="lessThan">
      <formula>0</formula>
    </cfRule>
  </conditionalFormatting>
  <conditionalFormatting sqref="B12">
    <cfRule type="expression" dxfId="1" priority="3">
      <formula>$B$9&gt;$B$10</formula>
    </cfRule>
  </conditionalFormatting>
  <conditionalFormatting sqref="A17:C21">
    <cfRule type="expression" dxfId="0" priority="4">
      <formula>$B17&gt;0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2026-10-03T08:47:17Z</dcterms:modified>
</cp:coreProperties>
</file>