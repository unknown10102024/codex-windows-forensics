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5ace8a76946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2f4f32994ad84214"/>
    <x:sheet xmlns:r="http://schemas.openxmlformats.org/officeDocument/2006/relationships" name="Ingredients" sheetId="2" r:id="R7701b50569c242fb"/>
    <x:sheet xmlns:r="http://schemas.openxmlformats.org/officeDocument/2006/relationships" name="ShoppingList" sheetId="3" r:id="R359abc1de6114147"/>
    <x:sheet xmlns:r="http://schemas.openxmlformats.org/officeDocument/2006/relationships" name="Dashboard" sheetId="4" r:id="Ra2e7cbc094b040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$&quot;#,##0.00;[Red](&quot;$&quot;#,##0.00);&quot;$&quot;0.00"/>
    <x:numFmt numFmtId="202" formatCode="0.0"/>
  </x:numFmts>
  <x:fonts count="5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  <x:font>
      <x:b/>
      <x:sz val="11"/>
      <x:color rgb="FF2432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247"/>
      </x:patternFill>
    </x:fill>
    <x:fill>
      <x:patternFill patternType="solid">
        <x:fgColor rgb="FFFFF0C2"/>
      </x:patternFill>
    </x:fill>
  </x:fills>
  <x:borders count="3">
    <x:border/>
    <x:border>
      <x:bottom style="thin">
        <x:color rgb="FF9CABBA"/>
      </x:bottom>
    </x:border>
    <x:border>
      <x:top style="thin">
        <x:color rgb="FF9CABBA"/>
      </x:top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2" fontId="1" fillId="0" borderId="0" xfId="0" applyNumberFormat="1" applyFont="1" applyFill="1" applyBorder="1"/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0" borderId="2" xfId="0" applyNumberFormat="1" applyFont="1" applyFill="1" applyBorder="1"/>
    <x:xf numFmtId="201" fontId="4" fillId="0" borderId="2" xfId="0" applyNumberFormat="1" applyFont="1" applyFill="1" applyBorder="1"/>
    <x:xf numFmtId="200" fontId="4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E5F0E7"/>
        </x:patternFill>
      </x:fill>
    </x:dxf>
    <x:dxf>
      <x:font>
        <x:b/>
        <x:color rgb="FF9C2323"/>
      </x:font>
      <x:fill>
        <x:patternFill patternType="solid">
          <x:bgColor rgb="FFFCE4E2"/>
        </x:patternFill>
      </x:fill>
    </x:dxf>
    <x:dxf>
      <x:font>
        <x:b/>
        <x:color rgb="FF9C2323"/>
      </x:font>
      <x:fill>
        <x:patternFill patternType="solid">
          <x:bgColor rgb="FFFC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35c68eb8b848be" /><Relationship Type="http://schemas.openxmlformats.org/officeDocument/2006/relationships/theme" Target="/xl/theme/theme1.xml" Id="Re5c265f2f07f4519" /><Relationship Type="http://schemas.openxmlformats.org/officeDocument/2006/relationships/sharedStrings" Target="/xl/sharedStrings.xml" Id="R33cfd94dc9f14bbb" /><Relationship Type="http://schemas.openxmlformats.org/officeDocument/2006/relationships/worksheet" Target="/xl/worksheets/sheet1.xml" Id="R2f4f32994ad84214" /><Relationship Type="http://schemas.openxmlformats.org/officeDocument/2006/relationships/worksheet" Target="/xl/worksheets/sheet2.xml" Id="R7701b50569c242fb" /><Relationship Type="http://schemas.openxmlformats.org/officeDocument/2006/relationships/worksheet" Target="/xl/worksheets/sheet3.xml" Id="R359abc1de6114147" /><Relationship Type="http://schemas.openxmlformats.org/officeDocument/2006/relationships/worksheet" Target="/xl/worksheets/sheet4.xml" Id="Ra2e7cbc094b0406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0e0d10ac50144b7" /><Relationship Type="http://schemas.openxmlformats.org/officeDocument/2006/relationships/chart" Target="/xl/drawings/charts/chart2.xml" Id="Rbbd0e8a0cc6645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Purchase cost by ingredient (USD)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Purchase cost (USD)</c:v>
          </c:tx>
          <c:spPr>
            <a:solidFill xmlns:a="http://schemas.openxmlformats.org/drawingml/2006/main">
              <a:srgbClr val="527C9D"/>
            </a:solidFill>
          </c:spPr>
          <c:cat>
            <c:strRef>
              <c:f>'ShoppingList'!$A$6:$A$10</c:f>
              <c:strCache>
                <c:ptCount val="0"/>
              </c:strCache>
            </c:strRef>
          </c:cat>
          <c:val>
            <c:numRef>
              <c:f>'ShoppingList'!$H$6:$H$10</c:f>
              <c:numCache>
                <c:formatCode>"$"#,##0.00;[Red]("$"#,##0.00);"$"0.00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0" sourceLinked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Share of used-ingredient cost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doughnutChart>
        <c:ser>
          <c:idx val="0"/>
          <c:order val="0"/>
          <c:tx>
            <c:v>Used-ingredient cost (USD)</c:v>
          </c:tx>
          <c:cat>
            <c:strRef>
              <c:f>'Ingredients'!$A$6:$A$10</c:f>
              <c:strCache>
                <c:ptCount val="0"/>
              </c:strCache>
            </c:strRef>
          </c:cat>
          <c:val>
            <c:numRef>
              <c:f>'Ingredients'!$G$6:$G$10</c:f>
              <c:numCache>
                <c:formatCode>"$"#,##0.00;[Red]("$"#,##0.00);"$"0.00</c:formatCode>
                <c:ptCount val="0"/>
              </c:numCache>
            </c:numRef>
          </c:val>
        </c:ser>
      </c:doughnut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0e0d10ac50144b7"/>
        </a:graphicData>
      </a:graphic>
    </xdr:graphicFrame>
    <xdr:clientData/>
  </xdr:twoCellAnchor>
  <xdr:twoCellAnchor>
    <xdr:from>
      <xdr:col>3</xdr:col>
      <xdr:colOff>0</xdr:colOff>
      <xdr:row>19</xdr:row>
      <xdr:rowOff>0</xdr:rowOff>
    </xdr:from>
    <xdr:to>
      <xdr:col>12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d0e8a0cc6645e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IngredientsTable" displayName="IngredientsTable" ref="A5:G10" headerRowCount="1" totalsRowCount="0" totalsRowShown="0">
  <x:autoFilter ref="A5:G10"/>
  <x:tableColumns count="7">
    <x:tableColumn id="1" name="Ingredient"/>
    <x:tableColumn id="2" name="Base quantity (g)"/>
    <x:tableColumn id="3" name="Stock available (g)"/>
    <x:tableColumn id="4" name="Package size (g)"/>
    <x:tableColumn id="5" name="Package price (USD)"/>
    <x:tableColumn id="6" name="Required quantity (g)"/>
    <x:tableColumn id="7" name="Used-ingredient cost (USD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241aeaa94749c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4024e158984f4c2e" /></Relationships>
</file>

<file path=xl/worksheets/sheet1.xml><?xml version="1.0" encoding="utf-8"?>
<x:worksheet xmlns:x="http://schemas.openxmlformats.org/spreadsheetml/2006/main">
  <x:sheetPr>
    <x:tabColor rgb="FF9CABBA"/>
  </x:sheetPr>
  <x:sheetViews>
    <x:sheetView showGridLines="0" workbookViewId="0"/>
  </x:sheetViews>
  <x:sheetFormatPr defaultRowHeight="15"/>
  <x:cols>
    <x:col min="1" max="1" width="32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3" t="str">
        <x:v>Carbonara meal setup</x:v>
      </x:c>
      <x:c r="B2" s="4"/>
      <x:c r="C2" s="4"/>
      <x:c r="D2" s="4"/>
      <x:c r="E2" s="4"/>
      <x:c r="F2" s="4"/>
      <x:c r="G2" s="4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46" customHeight="1">
      <x:c r="A4" s="9" t="str">
        <x:v>Setting</x:v>
      </x:c>
      <x:c r="B4" s="9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Base recipe servings</x:v>
      </x:c>
      <x:c r="B5" s="10" t="n">
        <x:v>2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Desired servings</x:v>
      </x:c>
      <x:c r="B6" s="12" t="n">
        <x:v>6</x:v>
      </x:c>
      <x:c r="C6" s="1"/>
      <x:c r="D6" s="1" t="str">
        <x:v>Amber cells are editable inputs.</x:v>
      </x:c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Shopping budget (USD)</x:v>
      </x:c>
      <x:c r="B7" s="13" t="n">
        <x:v>20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/>
      <x:c r="B8" s="1"/>
      <x:c r="C8" s="1"/>
      <x:c r="D8" s="1" t="str">
        <x:v>Change quantities, stock and package details in Ingredients.</x:v>
      </x:c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dataValidations count="2">
    <x:dataValidation type="whole" errorStyle="stop" operator="between" showErrorMessage="1" errorTitle="Invalid servings" error="Enter a whole number from 1 through 20." sqref="B6">
      <x:formula1>1</x:formula1>
      <x:formula2>20</x:formula2>
    </x:dataValidation>
    <x:dataValidation type="decimal" errorStyle="stop" operator="greaterThanOrEqual" showErrorMessage="1" errorTitle="Invalid budget" error="Enter a nonnegative number." sqref="B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3" t="str">
        <x:v>Carbonara ingredients</x:v>
      </x:c>
      <x:c r="B2" s="4"/>
      <x:c r="C2" s="4"/>
      <x:c r="D2" s="4"/>
      <x:c r="E2" s="4"/>
      <x:c r="F2" s="4"/>
      <x:c r="G2" s="4"/>
      <x:c r="H2" s="1"/>
      <x:c r="I2" s="1"/>
      <x:c r="J2" s="1"/>
      <x:c r="K2" s="1"/>
      <x:c r="L2" s="1"/>
    </x:row>
    <x:row r="3" ht="23" customHeight="1">
      <x:c r="A3" s="1" t="str">
        <x:v>Source: user-provided illustrative quantities and prices. All weights are in grams.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6" customHeight="1">
      <x:c r="A5" s="9" t="str">
        <x:v>Ingredient</x:v>
      </x:c>
      <x:c r="B5" s="9" t="str">
        <x:v>Base quantity (g)</x:v>
      </x:c>
      <x:c r="C5" s="9" t="str">
        <x:v>Stock available (g)</x:v>
      </x:c>
      <x:c r="D5" s="9" t="str">
        <x:v>Package size (g)</x:v>
      </x:c>
      <x:c r="E5" s="9" t="str">
        <x:v>Package price (USD)</x:v>
      </x:c>
      <x:c r="F5" s="9" t="str">
        <x:v>Required quantity (g)</x:v>
      </x:c>
      <x:c r="G5" s="9" t="str">
        <x:v>Used-ingredient cost (USD)</x:v>
      </x:c>
      <x:c r="H5" s="1"/>
      <x:c r="I5" s="1"/>
      <x:c r="J5" s="1"/>
      <x:c r="K5" s="1"/>
      <x:c r="L5" s="1"/>
    </x:row>
    <x:row r="6" ht="23" customHeight="1">
      <x:c r="A6" s="1" t="str">
        <x:v>Spaghetti (dry)</x:v>
      </x:c>
      <x:c r="B6" s="15" t="n">
        <x:v>200</x:v>
      </x:c>
      <x:c r="C6" s="15" t="n">
        <x:v>100</x:v>
      </x:c>
      <x:c r="D6" s="15" t="n">
        <x:v>500</x:v>
      </x:c>
      <x:c r="E6" s="13" t="n">
        <x:v>2.5</x:v>
      </x:c>
      <x:c r="F6" s="16" t="n">
        <x:f>B6*'Setup'!$B$6/'Setup'!$B$5</x:f>
        <x:v>600</x:v>
      </x:c>
      <x:c r="G6" s="11" t="n">
        <x:f>F6/D6*E6</x:f>
        <x:v>3</x:v>
      </x:c>
      <x:c r="H6" s="1"/>
      <x:c r="I6" s="1"/>
      <x:c r="J6" s="1"/>
      <x:c r="K6" s="1"/>
      <x:c r="L6" s="1"/>
    </x:row>
    <x:row r="7" ht="23" customHeight="1">
      <x:c r="A7" s="1" t="str">
        <x:v>Guanciale</x:v>
      </x:c>
      <x:c r="B7" s="15" t="n">
        <x:v>80</x:v>
      </x:c>
      <x:c r="C7" s="15" t="n">
        <x:v>20</x:v>
      </x:c>
      <x:c r="D7" s="15" t="n">
        <x:v>100</x:v>
      </x:c>
      <x:c r="E7" s="13" t="n">
        <x:v>4</x:v>
      </x:c>
      <x:c r="F7" s="16" t="n">
        <x:f>B7*'Setup'!$B$6/'Setup'!$B$5</x:f>
        <x:v>240</x:v>
      </x:c>
      <x:c r="G7" s="11" t="n">
        <x:f>F7/D7*E7</x:f>
        <x:v>9.6</x:v>
      </x:c>
      <x:c r="H7" s="1"/>
      <x:c r="I7" s="1"/>
      <x:c r="J7" s="1"/>
      <x:c r="K7" s="1"/>
      <x:c r="L7" s="1"/>
    </x:row>
    <x:row r="8" ht="23" customHeight="1">
      <x:c r="A8" s="1" t="str">
        <x:v>Egg yolks</x:v>
      </x:c>
      <x:c r="B8" s="15" t="n">
        <x:v>36</x:v>
      </x:c>
      <x:c r="C8" s="15" t="n">
        <x:v>0</x:v>
      </x:c>
      <x:c r="D8" s="15" t="n">
        <x:v>36</x:v>
      </x:c>
      <x:c r="E8" s="13" t="n">
        <x:v>0.54</x:v>
      </x:c>
      <x:c r="F8" s="16" t="n">
        <x:f>B8*'Setup'!$B$6/'Setup'!$B$5</x:f>
        <x:v>108</x:v>
      </x:c>
      <x:c r="G8" s="11" t="n">
        <x:f>F8/D8*E8</x:f>
        <x:v>1.62</x:v>
      </x:c>
      <x:c r="H8" s="1"/>
      <x:c r="I8" s="1"/>
      <x:c r="J8" s="1"/>
      <x:c r="K8" s="1"/>
      <x:c r="L8" s="1"/>
    </x:row>
    <x:row r="9" ht="23" customHeight="1">
      <x:c r="A9" s="1" t="str">
        <x:v>Pecorino Romano</x:v>
      </x:c>
      <x:c r="B9" s="15" t="n">
        <x:v>40</x:v>
      </x:c>
      <x:c r="C9" s="15" t="n">
        <x:v>10</x:v>
      </x:c>
      <x:c r="D9" s="15" t="n">
        <x:v>100</x:v>
      </x:c>
      <x:c r="E9" s="13" t="n">
        <x:v>3.5</x:v>
      </x:c>
      <x:c r="F9" s="16" t="n">
        <x:f>B9*'Setup'!$B$6/'Setup'!$B$5</x:f>
        <x:v>120</x:v>
      </x:c>
      <x:c r="G9" s="11" t="n">
        <x:f>F9/D9*E9</x:f>
        <x:v>4.2</x:v>
      </x:c>
      <x:c r="H9" s="1"/>
      <x:c r="I9" s="1"/>
      <x:c r="J9" s="1"/>
      <x:c r="K9" s="1"/>
      <x:c r="L9" s="1"/>
    </x:row>
    <x:row r="10" ht="23" customHeight="1">
      <x:c r="A10" s="1" t="str">
        <x:v>Black pepper</x:v>
      </x:c>
      <x:c r="B10" s="15" t="n">
        <x:v>1</x:v>
      </x:c>
      <x:c r="C10" s="15" t="n">
        <x:v>2</x:v>
      </x:c>
      <x:c r="D10" s="15" t="n">
        <x:v>50</x:v>
      </x:c>
      <x:c r="E10" s="13" t="n">
        <x:v>2.5</x:v>
      </x:c>
      <x:c r="F10" s="16" t="n">
        <x:f>B10*'Setup'!$B$6/'Setup'!$B$5</x:f>
        <x:v>3</x:v>
      </x:c>
      <x:c r="G10" s="11" t="n">
        <x:f>F10/D10*E10</x:f>
        <x:v>0.15</x:v>
      </x:c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 t="str">
        <x:v>Egg yolks are weighed without shells or egg whites.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 t="str">
        <x:v>Used-ingredient cost values all required grams at the package unit price, including stock used.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pageMargins left="0.7" right="0.7" top="0.75" bottom="0.75" header="0.3" footer="0.3"/>
  <x:tableParts count="1">
    <x:tablePart xmlns:r="http://schemas.openxmlformats.org/officeDocument/2006/relationships" r:id="R8e241aeaa94749c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3" t="str">
        <x:v>Carbonara shopping list</x:v>
      </x:c>
      <x:c r="B2" s="4"/>
      <x:c r="C2" s="4"/>
      <x:c r="D2" s="4"/>
      <x:c r="E2" s="4"/>
      <x:c r="F2" s="4"/>
      <x:c r="G2" s="4"/>
      <x:c r="H2" s="1"/>
      <x:c r="I2" s="1"/>
      <x:c r="J2" s="1"/>
      <x:c r="K2" s="1"/>
      <x:c r="L2" s="1"/>
    </x:row>
    <x:row r="3" ht="23" customHeight="1">
      <x:c r="A3" s="1" t="str">
        <x:v>Desired servings</x:v>
      </x:c>
      <x:c r="B3" s="1" t="n">
        <x:f>'Setup'!B6</x:f>
        <x:v>6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46" customHeight="1">
      <x:c r="A5" s="9" t="str">
        <x:v>Ingredient</x:v>
      </x:c>
      <x:c r="B5" s="9" t="str">
        <x:v>Required (g)</x:v>
      </x:c>
      <x:c r="C5" s="9" t="str">
        <x:v>Stock (g)</x:v>
      </x:c>
      <x:c r="D5" s="9" t="str">
        <x:v>Additional needed (g)</x:v>
      </x:c>
      <x:c r="E5" s="9" t="str">
        <x:v>Package size (g)</x:v>
      </x:c>
      <x:c r="F5" s="9" t="str">
        <x:v>Package price (USD)</x:v>
      </x:c>
      <x:c r="G5" s="9" t="str">
        <x:v>Packages to buy</x:v>
      </x:c>
      <x:c r="H5" s="9" t="str">
        <x:v>Purchase cost (USD)</x:v>
      </x:c>
      <x:c r="I5" s="9" t="str">
        <x:v>Stock after cooking (g)</x:v>
      </x:c>
      <x:c r="J5" s="9" t="str">
        <x:v>Used-ingredient cost (USD)</x:v>
      </x:c>
      <x:c r="K5" s="1"/>
      <x:c r="L5" s="1"/>
    </x:row>
    <x:row r="6" ht="23" customHeight="1">
      <x:c r="A6" s="1" t="str">
        <x:f>'Ingredients'!A6</x:f>
        <x:v>Spaghetti (dry)</x:v>
      </x:c>
      <x:c r="B6" s="16" t="n">
        <x:f>'Ingredients'!F6</x:f>
        <x:v>600</x:v>
      </x:c>
      <x:c r="C6" s="16" t="n">
        <x:f>'Ingredients'!C6</x:f>
        <x:v>100</x:v>
      </x:c>
      <x:c r="D6" s="16" t="n">
        <x:f>MAX(0,B6-C6)</x:f>
        <x:v>500</x:v>
      </x:c>
      <x:c r="E6" s="16" t="n">
        <x:f>'Ingredients'!D6</x:f>
        <x:v>500</x:v>
      </x:c>
      <x:c r="F6" s="11" t="n">
        <x:f>'Ingredients'!E6</x:f>
        <x:v>2.5</x:v>
      </x:c>
      <x:c r="G6" s="10" t="n">
        <x:f>ROUNDUP(D6/E6,0)</x:f>
        <x:v>1</x:v>
      </x:c>
      <x:c r="H6" s="11" t="n">
        <x:f>G6*F6</x:f>
        <x:v>2.5</x:v>
      </x:c>
      <x:c r="I6" s="16" t="n">
        <x:f>C6+G6*E6-B6</x:f>
        <x:v>0</x:v>
      </x:c>
      <x:c r="J6" s="11" t="n">
        <x:f>'Ingredients'!G6</x:f>
        <x:v>3</x:v>
      </x:c>
      <x:c r="K6" s="1"/>
      <x:c r="L6" s="1"/>
    </x:row>
    <x:row r="7" ht="23" customHeight="1">
      <x:c r="A7" s="1" t="str">
        <x:f>'Ingredients'!A7</x:f>
        <x:v>Guanciale</x:v>
      </x:c>
      <x:c r="B7" s="16" t="n">
        <x:f>'Ingredients'!F7</x:f>
        <x:v>240</x:v>
      </x:c>
      <x:c r="C7" s="16" t="n">
        <x:f>'Ingredients'!C7</x:f>
        <x:v>20</x:v>
      </x:c>
      <x:c r="D7" s="16" t="n">
        <x:f>MAX(0,B7-C7)</x:f>
        <x:v>220</x:v>
      </x:c>
      <x:c r="E7" s="16" t="n">
        <x:f>'Ingredients'!D7</x:f>
        <x:v>100</x:v>
      </x:c>
      <x:c r="F7" s="11" t="n">
        <x:f>'Ingredients'!E7</x:f>
        <x:v>4</x:v>
      </x:c>
      <x:c r="G7" s="10" t="n">
        <x:f>ROUNDUP(D7/E7,0)</x:f>
        <x:v>3</x:v>
      </x:c>
      <x:c r="H7" s="11" t="n">
        <x:f>G7*F7</x:f>
        <x:v>12</x:v>
      </x:c>
      <x:c r="I7" s="16" t="n">
        <x:f>C7+G7*E7-B7</x:f>
        <x:v>80</x:v>
      </x:c>
      <x:c r="J7" s="11" t="n">
        <x:f>'Ingredients'!G7</x:f>
        <x:v>9.6</x:v>
      </x:c>
      <x:c r="K7" s="1"/>
      <x:c r="L7" s="1"/>
    </x:row>
    <x:row r="8" ht="23" customHeight="1">
      <x:c r="A8" s="1" t="str">
        <x:f>'Ingredients'!A8</x:f>
        <x:v>Egg yolks</x:v>
      </x:c>
      <x:c r="B8" s="16" t="n">
        <x:f>'Ingredients'!F8</x:f>
        <x:v>108</x:v>
      </x:c>
      <x:c r="C8" s="16" t="n">
        <x:f>'Ingredients'!C8</x:f>
        <x:v>0</x:v>
      </x:c>
      <x:c r="D8" s="16" t="n">
        <x:f>MAX(0,B8-C8)</x:f>
        <x:v>108</x:v>
      </x:c>
      <x:c r="E8" s="16" t="n">
        <x:f>'Ingredients'!D8</x:f>
        <x:v>36</x:v>
      </x:c>
      <x:c r="F8" s="11" t="n">
        <x:f>'Ingredients'!E8</x:f>
        <x:v>0.54</x:v>
      </x:c>
      <x:c r="G8" s="10" t="n">
        <x:f>ROUNDUP(D8/E8,0)</x:f>
        <x:v>3</x:v>
      </x:c>
      <x:c r="H8" s="11" t="n">
        <x:f>G8*F8</x:f>
        <x:v>1.62</x:v>
      </x:c>
      <x:c r="I8" s="16" t="n">
        <x:f>C8+G8*E8-B8</x:f>
        <x:v>0</x:v>
      </x:c>
      <x:c r="J8" s="11" t="n">
        <x:f>'Ingredients'!G8</x:f>
        <x:v>1.62</x:v>
      </x:c>
      <x:c r="K8" s="1"/>
      <x:c r="L8" s="1"/>
    </x:row>
    <x:row r="9" ht="23" customHeight="1">
      <x:c r="A9" s="1" t="str">
        <x:f>'Ingredients'!A9</x:f>
        <x:v>Pecorino Romano</x:v>
      </x:c>
      <x:c r="B9" s="16" t="n">
        <x:f>'Ingredients'!F9</x:f>
        <x:v>120</x:v>
      </x:c>
      <x:c r="C9" s="16" t="n">
        <x:f>'Ingredients'!C9</x:f>
        <x:v>10</x:v>
      </x:c>
      <x:c r="D9" s="16" t="n">
        <x:f>MAX(0,B9-C9)</x:f>
        <x:v>110</x:v>
      </x:c>
      <x:c r="E9" s="16" t="n">
        <x:f>'Ingredients'!D9</x:f>
        <x:v>100</x:v>
      </x:c>
      <x:c r="F9" s="11" t="n">
        <x:f>'Ingredients'!E9</x:f>
        <x:v>3.5</x:v>
      </x:c>
      <x:c r="G9" s="10" t="n">
        <x:f>ROUNDUP(D9/E9,0)</x:f>
        <x:v>2</x:v>
      </x:c>
      <x:c r="H9" s="11" t="n">
        <x:f>G9*F9</x:f>
        <x:v>7</x:v>
      </x:c>
      <x:c r="I9" s="16" t="n">
        <x:f>C9+G9*E9-B9</x:f>
        <x:v>90</x:v>
      </x:c>
      <x:c r="J9" s="11" t="n">
        <x:f>'Ingredients'!G9</x:f>
        <x:v>4.2</x:v>
      </x:c>
      <x:c r="K9" s="1"/>
      <x:c r="L9" s="1"/>
    </x:row>
    <x:row r="10" ht="23" customHeight="1">
      <x:c r="A10" s="1" t="str">
        <x:f>'Ingredients'!A10</x:f>
        <x:v>Black pepper</x:v>
      </x:c>
      <x:c r="B10" s="16" t="n">
        <x:f>'Ingredients'!F10</x:f>
        <x:v>3</x:v>
      </x:c>
      <x:c r="C10" s="16" t="n">
        <x:f>'Ingredients'!C10</x:f>
        <x:v>2</x:v>
      </x:c>
      <x:c r="D10" s="16" t="n">
        <x:f>MAX(0,B10-C10)</x:f>
        <x:v>1</x:v>
      </x:c>
      <x:c r="E10" s="16" t="n">
        <x:f>'Ingredients'!D10</x:f>
        <x:v>50</x:v>
      </x:c>
      <x:c r="F10" s="11" t="n">
        <x:f>'Ingredients'!E10</x:f>
        <x:v>2.5</x:v>
      </x:c>
      <x:c r="G10" s="10" t="n">
        <x:f>ROUNDUP(D10/E10,0)</x:f>
        <x:v>1</x:v>
      </x:c>
      <x:c r="H10" s="11" t="n">
        <x:f>G10*F10</x:f>
        <x:v>2.5</x:v>
      </x:c>
      <x:c r="I10" s="16" t="n">
        <x:f>C10+G10*E10-B10</x:f>
        <x:v>49</x:v>
      </x:c>
      <x:c r="J10" s="11" t="n">
        <x:f>'Ingredients'!G10</x:f>
        <x:v>0.15</x:v>
      </x:c>
      <x:c r="K10" s="1"/>
      <x:c r="L10" s="1"/>
    </x:row>
    <x:row r="11" ht="23" customHeight="1">
      <x:c r="A11" s="1"/>
      <x:c r="B11" s="1"/>
      <x:c r="C11" s="1"/>
      <x:c r="D11" s="1"/>
      <x:c r="E11" s="1"/>
      <x:c r="F11" s="11"/>
      <x:c r="G11" s="1"/>
      <x:c r="H11" s="11"/>
      <x:c r="I11" s="1"/>
      <x:c r="J11" s="11"/>
      <x:c r="K11" s="1"/>
      <x:c r="L11" s="1"/>
    </x:row>
    <x:row r="12" ht="23" customHeight="1">
      <x:c r="A12" s="19" t="str">
        <x:v>Totals</x:v>
      </x:c>
      <x:c r="B12" s="19"/>
      <x:c r="C12" s="19"/>
      <x:c r="D12" s="19"/>
      <x:c r="E12" s="19"/>
      <x:c r="F12" s="20"/>
      <x:c r="G12" s="19"/>
      <x:c r="H12" s="20" t="n">
        <x:f>SUM(H6:H10)</x:f>
        <x:v>25.62</x:v>
      </x:c>
      <x:c r="I12" s="19"/>
      <x:c r="J12" s="20" t="n">
        <x:f>SUM(J6:J10)</x:f>
        <x:v>18.569999999999997</x:v>
      </x:c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A6:J10">
    <x:cfRule type="expression" dxfId="0" priority="1">
      <x:formula>$G6&gt;0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43247"/>
  </x:sheetPr>
  <x:sheetViews>
    <x:sheetView showGridLines="0" workbookViewId="0"/>
  </x:sheetViews>
  <x:sheetFormatPr defaultRowHeight="15"/>
  <x:cols>
    <x:col min="1" max="1" width="36" hidden="0" customWidth="1"/>
    <x:col min="2" max="2" width="20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3" customHeight="1">
      <x:c r="A2" s="3" t="str">
        <x:v>Carbonara cost dashboard</x:v>
      </x:c>
      <x:c r="B2" s="4"/>
      <x:c r="C2" s="4"/>
      <x:c r="D2" s="4"/>
      <x:c r="E2" s="4"/>
      <x:c r="F2" s="4"/>
      <x:c r="G2" s="4"/>
      <x:c r="H2" s="1"/>
      <x:c r="I2" s="1"/>
      <x:c r="J2" s="1"/>
      <x:c r="K2" s="1"/>
      <x:c r="L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23" customHeight="1">
      <x:c r="A4" s="1" t="str">
        <x:v>Desired servings</x:v>
      </x:c>
      <x:c r="B4" s="21" t="n">
        <x:f>'Setup'!B6</x:f>
        <x:v>6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3" customHeight="1">
      <x:c r="A5" s="1" t="str">
        <x:v>Total used-ingredient cost</x:v>
      </x:c>
      <x:c r="B5" s="18" t="n">
        <x:f>'ShoppingList'!J12</x:f>
        <x:v>18.569999999999997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 ht="23" customHeight="1">
      <x:c r="A6" s="1" t="str">
        <x:v>Used-ingredient cost per serving</x:v>
      </x:c>
      <x:c r="B6" s="18" t="n">
        <x:f>B5/B4</x:f>
        <x:v>3.0949999999999993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 ht="23" customHeight="1">
      <x:c r="A7" s="1" t="str">
        <x:v>Total purchase cost</x:v>
      </x:c>
      <x:c r="B7" s="18" t="n">
        <x:f>'ShoppingList'!H12</x:f>
        <x:v>25.62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 ht="23" customHeight="1">
      <x:c r="A8" s="1" t="str">
        <x:v>Shopping budget</x:v>
      </x:c>
      <x:c r="B8" s="18" t="n">
        <x:f>'Setup'!B7</x:f>
        <x:v>20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 ht="23" customHeight="1">
      <x:c r="A9" s="1" t="str">
        <x:v>Budget remaining</x:v>
      </x:c>
      <x:c r="B9" s="18" t="n">
        <x:f>B8-B7</x:f>
        <x:v>-5.620000000000001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 ht="23" customHeight="1">
      <x:c r="A10" s="1" t="str">
        <x:v>Budget status</x:v>
      </x:c>
      <x:c r="B10" s="17" t="str">
        <x:f>IF(B7&lt;=B8,"Within budget","Over budget")</x:f>
        <x:v>Over budget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 ht="23" customHeight="1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 ht="23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 ht="23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 ht="23" customHeight="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 ht="23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 ht="23" customHeight="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</x:sheetData>
  <x:conditionalFormatting sqref="B7:B7">
    <x:cfRule type="expression" dxfId="1" priority="1">
      <x:formula>B7&gt;B8</x:formula>
    </x:cfRule>
  </x:conditionalFormatting>
  <x:conditionalFormatting sqref="B10:B10">
    <x:cfRule type="expression" dxfId="2" priority="2">
      <x:formula>$B$7&gt;$B$8</x:formula>
    </x:cfRule>
  </x:conditionalFormatting>
  <x:pageMargins left="0.7" right="0.7" top="0.75" bottom="0.75" header="0.3" footer="0.3"/>
  <x:drawing xmlns:r="http://schemas.openxmlformats.org/officeDocument/2006/relationships" r:id="R4024e158984f4c2e"/>
</x:worksheet>
</file>