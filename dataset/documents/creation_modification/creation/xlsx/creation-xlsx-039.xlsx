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f2472a35b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580791c1b1f144f4"/>
    <x:sheet xmlns:r="http://schemas.openxmlformats.org/officeDocument/2006/relationships" name="Ingredients" sheetId="2" r:id="R5c2a7abfb572409c"/>
    <x:sheet xmlns:r="http://schemas.openxmlformats.org/officeDocument/2006/relationships" name="ShoppingList" sheetId="3" r:id="R10c642c0556b4fa2"/>
    <x:sheet xmlns:r="http://schemas.openxmlformats.org/officeDocument/2006/relationships" name="Dashboard" sheetId="4" r:id="R00c9c7f951f1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;[Red](&quot;$&quot;#,##0.00);&quot;$&quot;0.00"/>
    <x:numFmt numFmtId="201" formatCode="0.00"/>
    <x:numFmt numFmtId="202" formatCode="0"/>
  </x:numFmts>
  <x:fonts count="7">
    <x:font>
      <x:sz val="11"/>
      <x:name val="Carlito"/>
    </x:font>
    <x:font>
      <x:sz val="11"/>
      <x:color rgb="FF263D53"/>
      <x:name val="Arial"/>
    </x:font>
    <x:font>
      <x:b/>
      <x:sz val="16"/>
      <x:color rgb="FF263D53"/>
      <x:name val="Arial"/>
    </x:font>
    <x:font>
      <x:b/>
      <x:sz val="11"/>
      <x:color rgb="FFFFFFFF"/>
      <x:name val="Arial"/>
    </x:font>
    <x:font>
      <x:b/>
      <x:sz val="11"/>
      <x:color rgb="FF1756A9"/>
      <x:name val="Arial"/>
    </x:font>
    <x:font>
      <x:sz val="11"/>
      <x:color rgb="FF1756A9"/>
      <x:name val="Arial"/>
    </x:font>
    <x:font>
      <x:b/>
      <x:sz val="11"/>
      <x:color rgb="FF263D5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1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ont>
        <x:b/>
        <x:color rgb="FF9C2525"/>
      </x:font>
      <x:fill>
        <x:patternFill patternType="solid">
          <x:bgColor rgb="FFFCE1DE"/>
        </x:patternFill>
      </x:fill>
    </x:dxf>
    <x:dxf>
      <x:font>
        <x:b/>
        <x:color rgb="FF9C2525"/>
      </x:font>
      <x:fill>
        <x:patternFill patternType="solid">
          <x:bgColor rgb="FFFC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d48e82cdb4bcd" /><Relationship Type="http://schemas.openxmlformats.org/officeDocument/2006/relationships/theme" Target="/xl/theme/theme1.xml" Id="Rd754f45339344427" /><Relationship Type="http://schemas.openxmlformats.org/officeDocument/2006/relationships/sharedStrings" Target="/xl/sharedStrings.xml" Id="Rfc3c3124402c4904" /><Relationship Type="http://schemas.openxmlformats.org/officeDocument/2006/relationships/worksheet" Target="/xl/worksheets/sheet1.xml" Id="R580791c1b1f144f4" /><Relationship Type="http://schemas.openxmlformats.org/officeDocument/2006/relationships/worksheet" Target="/xl/worksheets/sheet2.xml" Id="R5c2a7abfb572409c" /><Relationship Type="http://schemas.openxmlformats.org/officeDocument/2006/relationships/worksheet" Target="/xl/worksheets/sheet3.xml" Id="R10c642c0556b4fa2" /><Relationship Type="http://schemas.openxmlformats.org/officeDocument/2006/relationships/worksheet" Target="/xl/worksheets/sheet4.xml" Id="R00c9c7f951f14a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e3c52ea56c4749" /><Relationship Type="http://schemas.openxmlformats.org/officeDocument/2006/relationships/chart" Target="/xl/drawings/charts/chart2.xml" Id="Ree9b5beccc9c46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96F94"/>
            </a:solidFill>
          </c:spPr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'Dashboard'!$B$15:$B$19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'Dashboard'!$C$15:$C$19</c:f>
              <c:numCache>
                <c:formatCode>"$"#,##0.00;[Red]("$"#,##0.00);"$"0.00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e3c52ea56c4749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9b5beccc9c46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4:G9" headerRowCount="1" totalsRowCount="0" totalsRowShown="0">
  <x:autoFilter ref="A4:G9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2288daf24749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78029d95f6944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Setting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1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9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10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Yellow cells are editable meal inputs.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Quantities and package sizes are in grams.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Egg yolks exclude shells and egg whites.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Recipe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Ingredient</x:v>
      </x:c>
      <x:c r="B4" s="7" t="str">
        <x:v>Base quantity for 2 servings (g)</x:v>
      </x:c>
      <x:c r="C4" s="7" t="str">
        <x:v>Stock available (g)</x:v>
      </x:c>
      <x:c r="D4" s="7" t="str">
        <x:v>Package size (g)</x:v>
      </x:c>
      <x:c r="E4" s="7" t="str">
        <x:v>Package price (USD)</x:v>
      </x:c>
      <x:c r="F4" s="7" t="str">
        <x:v>Required quantity (g)</x:v>
      </x:c>
      <x:c r="G4" s="7" t="str">
        <x:v>Used-ingredient cost (USD)</x:v>
      </x:c>
      <x:c r="H4" s="1"/>
      <x:c r="I4" s="1"/>
      <x:c r="J4" s="1"/>
      <x:c r="K4" s="1"/>
      <x:c r="L4" s="1"/>
    </x:row>
    <x:row r="5" ht="23" customHeight="1">
      <x:c r="A5" s="1" t="str">
        <x:v>Spaghetti (dry)</x:v>
      </x:c>
      <x:c r="B5" s="12" t="n">
        <x:v>200</x:v>
      </x:c>
      <x:c r="C5" s="12" t="n">
        <x:v>100</x:v>
      </x:c>
      <x:c r="D5" s="12" t="n">
        <x:v>500</x:v>
      </x:c>
      <x:c r="E5" s="14" t="n">
        <x:v>2.5</x:v>
      </x:c>
      <x:c r="F5" s="13" t="n">
        <x:f>B5*'Setup'!$B$6/'Setup'!$B$5</x:f>
        <x:v>600</x:v>
      </x:c>
      <x:c r="G5" s="15" t="n">
        <x:f>F5/D5*E5</x:f>
        <x:v>3</x:v>
      </x:c>
      <x:c r="H5" s="1"/>
      <x:c r="I5" s="1"/>
      <x:c r="J5" s="1"/>
      <x:c r="K5" s="1"/>
      <x:c r="L5" s="1"/>
    </x:row>
    <x:row r="6" ht="23" customHeight="1">
      <x:c r="A6" s="1" t="str">
        <x:v>Guanciale</x:v>
      </x:c>
      <x:c r="B6" s="12" t="n">
        <x:v>80</x:v>
      </x:c>
      <x:c r="C6" s="12" t="n">
        <x:v>20</x:v>
      </x:c>
      <x:c r="D6" s="12" t="n">
        <x:v>100</x:v>
      </x:c>
      <x:c r="E6" s="14" t="n">
        <x:v>4</x:v>
      </x:c>
      <x:c r="F6" s="13" t="n">
        <x:f>B6*'Setup'!$B$6/'Setup'!$B$5</x:f>
        <x:v>240</x:v>
      </x:c>
      <x:c r="G6" s="15" t="n">
        <x:f>F6/D6*E6</x:f>
        <x:v>9.6</x:v>
      </x:c>
      <x:c r="H6" s="1"/>
      <x:c r="I6" s="1"/>
      <x:c r="J6" s="1"/>
      <x:c r="K6" s="1"/>
      <x:c r="L6" s="1"/>
    </x:row>
    <x:row r="7" ht="23" customHeight="1">
      <x:c r="A7" s="1" t="str">
        <x:v>Egg yolks</x:v>
      </x:c>
      <x:c r="B7" s="12" t="n">
        <x:v>36</x:v>
      </x:c>
      <x:c r="C7" s="12" t="n">
        <x:v>0</x:v>
      </x:c>
      <x:c r="D7" s="12" t="n">
        <x:v>36</x:v>
      </x:c>
      <x:c r="E7" s="14" t="n">
        <x:v>0.54</x:v>
      </x:c>
      <x:c r="F7" s="13" t="n">
        <x:f>B7*'Setup'!$B$6/'Setup'!$B$5</x:f>
        <x:v>108</x:v>
      </x:c>
      <x:c r="G7" s="15" t="n">
        <x:f>F7/D7*E7</x:f>
        <x:v>1.62</x:v>
      </x:c>
      <x:c r="H7" s="1"/>
      <x:c r="I7" s="1"/>
      <x:c r="J7" s="1"/>
      <x:c r="K7" s="1"/>
      <x:c r="L7" s="1"/>
    </x:row>
    <x:row r="8" ht="23" customHeight="1">
      <x:c r="A8" s="1" t="str">
        <x:v>Pecorino Romano</x:v>
      </x:c>
      <x:c r="B8" s="12" t="n">
        <x:v>40</x:v>
      </x:c>
      <x:c r="C8" s="12" t="n">
        <x:v>10</x:v>
      </x:c>
      <x:c r="D8" s="12" t="n">
        <x:v>100</x:v>
      </x:c>
      <x:c r="E8" s="14" t="n">
        <x:v>3.5</x:v>
      </x:c>
      <x:c r="F8" s="13" t="n">
        <x:f>B8*'Setup'!$B$6/'Setup'!$B$5</x:f>
        <x:v>120</x:v>
      </x:c>
      <x:c r="G8" s="15" t="n">
        <x:f>F8/D8*E8</x:f>
        <x:v>4.2</x:v>
      </x:c>
      <x:c r="H8" s="1"/>
      <x:c r="I8" s="1"/>
      <x:c r="J8" s="1"/>
      <x:c r="K8" s="1"/>
      <x:c r="L8" s="1"/>
    </x:row>
    <x:row r="9" ht="23" customHeight="1">
      <x:c r="A9" s="1" t="str">
        <x:v>Black pepper</x:v>
      </x:c>
      <x:c r="B9" s="12" t="n">
        <x:v>1</x:v>
      </x:c>
      <x:c r="C9" s="12" t="n">
        <x:v>2</x:v>
      </x:c>
      <x:c r="D9" s="12" t="n">
        <x:v>50</x:v>
      </x:c>
      <x:c r="E9" s="14" t="n">
        <x:v>2.5</x:v>
      </x:c>
      <x:c r="F9" s="13" t="n">
        <x:f>B9*'Setup'!$B$6/'Setup'!$B$5</x:f>
        <x:v>3</x:v>
      </x:c>
      <x:c r="G9" s="15" t="n">
        <x:f>F9/D9*E9</x:f>
        <x:v>0.15</x:v>
      </x:c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Source: Fixed illustrative data supplied for this meal.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Used cost values all required ingredients, including available stock.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7c2288daf24749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Desired servings</x:v>
      </x:c>
      <x:c r="B3" s="1" t="n">
        <x:f>'Setup'!B6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7" t="str">
        <x:v>Ingredient</x:v>
      </x:c>
      <x:c r="B5" s="7" t="str">
        <x:v>Required (g)</x:v>
      </x:c>
      <x:c r="C5" s="7" t="str">
        <x:v>Stock (g)</x:v>
      </x:c>
      <x:c r="D5" s="7" t="str">
        <x:v>Additional needed (g)</x:v>
      </x:c>
      <x:c r="E5" s="7" t="str">
        <x:v>Package size (g)</x:v>
      </x:c>
      <x:c r="F5" s="7" t="str">
        <x:v>Package price (USD)</x:v>
      </x:c>
      <x:c r="G5" s="7" t="str">
        <x:v>Packages to buy</x:v>
      </x:c>
      <x:c r="H5" s="7" t="str">
        <x:v>Purchase cost (USD)</x:v>
      </x:c>
      <x:c r="I5" s="7" t="str">
        <x:v>Stock after cooking (g)</x:v>
      </x:c>
      <x:c r="J5" s="7" t="str">
        <x:v>Used cost (USD)</x:v>
      </x:c>
      <x:c r="K5" s="1"/>
      <x:c r="L5" s="1"/>
    </x:row>
    <x:row r="6" ht="23" customHeight="1">
      <x:c r="A6" s="1" t="str">
        <x:f>'Ingredients'!A5</x:f>
        <x:v>Spaghetti (dry)</x:v>
      </x:c>
      <x:c r="B6" s="13" t="n">
        <x:f>'Ingredients'!F5</x:f>
        <x:v>600</x:v>
      </x:c>
      <x:c r="C6" s="13" t="n">
        <x:f>'Ingredients'!C5</x:f>
        <x:v>100</x:v>
      </x:c>
      <x:c r="D6" s="13" t="n">
        <x:f>MAX(B6-C6,0)</x:f>
        <x:v>500</x:v>
      </x:c>
      <x:c r="E6" s="13" t="n">
        <x:f>'Ingredients'!D5</x:f>
        <x:v>500</x:v>
      </x:c>
      <x:c r="F6" s="15" t="n">
        <x:f>'Ingredients'!E5</x:f>
        <x:v>2.5</x:v>
      </x:c>
      <x:c r="G6" s="16" t="n">
        <x:f>ROUNDUP(D6/E6,0)</x:f>
        <x:v>1</x:v>
      </x:c>
      <x:c r="H6" s="15" t="n">
        <x:f>G6*F6</x:f>
        <x:v>2.5</x:v>
      </x:c>
      <x:c r="I6" s="13" t="n">
        <x:f>C6+G6*E6-B6</x:f>
        <x:v>0</x:v>
      </x:c>
      <x:c r="J6" s="15" t="n">
        <x:f>'Ingredients'!G5</x:f>
        <x:v>3</x:v>
      </x:c>
      <x:c r="K6" s="1"/>
      <x:c r="L6" s="1"/>
    </x:row>
    <x:row r="7" ht="23" customHeight="1">
      <x:c r="A7" s="1" t="str">
        <x:f>'Ingredients'!A6</x:f>
        <x:v>Guanciale</x:v>
      </x:c>
      <x:c r="B7" s="13" t="n">
        <x:f>'Ingredients'!F6</x:f>
        <x:v>240</x:v>
      </x:c>
      <x:c r="C7" s="13" t="n">
        <x:f>'Ingredients'!C6</x:f>
        <x:v>20</x:v>
      </x:c>
      <x:c r="D7" s="13" t="n">
        <x:f>MAX(B7-C7,0)</x:f>
        <x:v>220</x:v>
      </x:c>
      <x:c r="E7" s="13" t="n">
        <x:f>'Ingredients'!D6</x:f>
        <x:v>100</x:v>
      </x:c>
      <x:c r="F7" s="15" t="n">
        <x:f>'Ingredients'!E6</x:f>
        <x:v>4</x:v>
      </x:c>
      <x:c r="G7" s="16" t="n">
        <x:f>ROUNDUP(D7/E7,0)</x:f>
        <x:v>3</x:v>
      </x:c>
      <x:c r="H7" s="15" t="n">
        <x:f>G7*F7</x:f>
        <x:v>12</x:v>
      </x:c>
      <x:c r="I7" s="13" t="n">
        <x:f>C7+G7*E7-B7</x:f>
        <x:v>80</x:v>
      </x:c>
      <x:c r="J7" s="15" t="n">
        <x:f>'Ingredients'!G6</x:f>
        <x:v>9.6</x:v>
      </x:c>
      <x:c r="K7" s="1"/>
      <x:c r="L7" s="1"/>
    </x:row>
    <x:row r="8" ht="23" customHeight="1">
      <x:c r="A8" s="1" t="str">
        <x:f>'Ingredients'!A7</x:f>
        <x:v>Egg yolks</x:v>
      </x:c>
      <x:c r="B8" s="13" t="n">
        <x:f>'Ingredients'!F7</x:f>
        <x:v>108</x:v>
      </x:c>
      <x:c r="C8" s="13" t="n">
        <x:f>'Ingredients'!C7</x:f>
        <x:v>0</x:v>
      </x:c>
      <x:c r="D8" s="13" t="n">
        <x:f>MAX(B8-C8,0)</x:f>
        <x:v>108</x:v>
      </x:c>
      <x:c r="E8" s="13" t="n">
        <x:f>'Ingredients'!D7</x:f>
        <x:v>36</x:v>
      </x:c>
      <x:c r="F8" s="15" t="n">
        <x:f>'Ingredients'!E7</x:f>
        <x:v>0.54</x:v>
      </x:c>
      <x:c r="G8" s="16" t="n">
        <x:f>ROUNDUP(D8/E8,0)</x:f>
        <x:v>3</x:v>
      </x:c>
      <x:c r="H8" s="15" t="n">
        <x:f>G8*F8</x:f>
        <x:v>1.62</x:v>
      </x:c>
      <x:c r="I8" s="13" t="n">
        <x:f>C8+G8*E8-B8</x:f>
        <x:v>0</x:v>
      </x:c>
      <x:c r="J8" s="15" t="n">
        <x:f>'Ingredients'!G7</x:f>
        <x:v>1.62</x:v>
      </x:c>
      <x:c r="K8" s="1"/>
      <x:c r="L8" s="1"/>
    </x:row>
    <x:row r="9" ht="23" customHeight="1">
      <x:c r="A9" s="1" t="str">
        <x:f>'Ingredients'!A8</x:f>
        <x:v>Pecorino Romano</x:v>
      </x:c>
      <x:c r="B9" s="13" t="n">
        <x:f>'Ingredients'!F8</x:f>
        <x:v>120</x:v>
      </x:c>
      <x:c r="C9" s="13" t="n">
        <x:f>'Ingredients'!C8</x:f>
        <x:v>10</x:v>
      </x:c>
      <x:c r="D9" s="13" t="n">
        <x:f>MAX(B9-C9,0)</x:f>
        <x:v>110</x:v>
      </x:c>
      <x:c r="E9" s="13" t="n">
        <x:f>'Ingredients'!D8</x:f>
        <x:v>100</x:v>
      </x:c>
      <x:c r="F9" s="15" t="n">
        <x:f>'Ingredients'!E8</x:f>
        <x:v>3.5</x:v>
      </x:c>
      <x:c r="G9" s="16" t="n">
        <x:f>ROUNDUP(D9/E9,0)</x:f>
        <x:v>2</x:v>
      </x:c>
      <x:c r="H9" s="15" t="n">
        <x:f>G9*F9</x:f>
        <x:v>7</x:v>
      </x:c>
      <x:c r="I9" s="13" t="n">
        <x:f>C9+G9*E9-B9</x:f>
        <x:v>90</x:v>
      </x:c>
      <x:c r="J9" s="15" t="n">
        <x:f>'Ingredients'!G8</x:f>
        <x:v>4.2</x:v>
      </x:c>
      <x:c r="K9" s="1"/>
      <x:c r="L9" s="1"/>
    </x:row>
    <x:row r="10" ht="23" customHeight="1">
      <x:c r="A10" s="1" t="str">
        <x:f>'Ingredients'!A9</x:f>
        <x:v>Black pepper</x:v>
      </x:c>
      <x:c r="B10" s="13" t="n">
        <x:f>'Ingredients'!F9</x:f>
        <x:v>3</x:v>
      </x:c>
      <x:c r="C10" s="13" t="n">
        <x:f>'Ingredients'!C9</x:f>
        <x:v>2</x:v>
      </x:c>
      <x:c r="D10" s="13" t="n">
        <x:f>MAX(B10-C10,0)</x:f>
        <x:v>1</x:v>
      </x:c>
      <x:c r="E10" s="13" t="n">
        <x:f>'Ingredients'!D9</x:f>
        <x:v>50</x:v>
      </x:c>
      <x:c r="F10" s="15" t="n">
        <x:f>'Ingredients'!E9</x:f>
        <x:v>2.5</x:v>
      </x:c>
      <x:c r="G10" s="16" t="n">
        <x:f>ROUNDUP(D10/E10,0)</x:f>
        <x:v>1</x:v>
      </x:c>
      <x:c r="H10" s="15" t="n">
        <x:f>G10*F10</x:f>
        <x:v>2.5</x:v>
      </x:c>
      <x:c r="I10" s="13" t="n">
        <x:f>C10+G10*E10-B10</x:f>
        <x:v>49</x:v>
      </x:c>
      <x:c r="J10" s="15" t="n">
        <x:f>'Ingredients'!G9</x:f>
        <x:v>0.15</x:v>
      </x:c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5"/>
      <x:c r="I11" s="1"/>
      <x:c r="J11" s="15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7" t="str">
        <x:v>Totals</x:v>
      </x:c>
      <x:c r="H12" s="18" t="n">
        <x:f>SUM(H6:H10)</x:f>
        <x:v>25.62</x:v>
      </x:c>
      <x:c r="I12" s="17"/>
      <x:c r="J12" s="18" t="n">
        <x:f>SUM(J6:J10)</x:f>
        <x:v>18.569999999999997</x:v>
      </x:c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6:J10">
    <x:cfRule type="expression" dxfId="0" priority="1">
      <x:formula>$G6&gt;0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3D53"/>
  </x:sheetPr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4" customHeight="1">
      <x:c r="A4" s="7" t="str">
        <x:v>Metric</x:v>
      </x:c>
      <x:c r="B4" s="7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1" t="n">
        <x:f>'Setup'!B6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</x:v>
      </x:c>
      <x:c r="B6" s="15" t="n">
        <x:f>'ShoppingList'!J12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15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Total purchase cost</x:v>
      </x:c>
      <x:c r="B8" s="15" t="n">
        <x:f>'ShoppingList'!H12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Shopping budget</x:v>
      </x:c>
      <x:c r="B9" s="15" t="n">
        <x:f>'Setup'!B7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15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44" customHeight="1">
      <x:c r="A14" s="7" t="str">
        <x:v>Ingredient</x:v>
      </x:c>
      <x:c r="B14" s="7" t="str">
        <x:v>Purchase cost (USD)</x:v>
      </x:c>
      <x:c r="C14" s="7" t="str">
        <x:v>Used cost (USD)</x:v>
      </x:c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f>'ShoppingList'!A6</x:f>
        <x:v>Spaghetti (dry)</x:v>
      </x:c>
      <x:c r="B15" s="15" t="n">
        <x:f>'ShoppingList'!H6</x:f>
        <x:v>2.5</x:v>
      </x:c>
      <x:c r="C15" s="15" t="n">
        <x:f>'ShoppingList'!J6</x:f>
        <x:v>3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f>'ShoppingList'!A7</x:f>
        <x:v>Guanciale</x:v>
      </x:c>
      <x:c r="B16" s="15" t="n">
        <x:f>'ShoppingList'!H7</x:f>
        <x:v>12</x:v>
      </x:c>
      <x:c r="C16" s="15" t="n">
        <x:f>'ShoppingList'!J7</x:f>
        <x:v>9.6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f>'ShoppingList'!A8</x:f>
        <x:v>Egg yolks</x:v>
      </x:c>
      <x:c r="B17" s="15" t="n">
        <x:f>'ShoppingList'!H8</x:f>
        <x:v>1.62</x:v>
      </x:c>
      <x:c r="C17" s="15" t="n">
        <x:f>'ShoppingList'!J8</x:f>
        <x:v>1.62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f>'ShoppingList'!A9</x:f>
        <x:v>Pecorino Romano</x:v>
      </x:c>
      <x:c r="B18" s="15" t="n">
        <x:f>'ShoppingList'!H9</x:f>
        <x:v>7</x:v>
      </x:c>
      <x:c r="C18" s="15" t="n">
        <x:f>'ShoppingList'!J9</x:f>
        <x:v>4.2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f>'ShoppingList'!A10</x:f>
        <x:v>Black pepper</x:v>
      </x:c>
      <x:c r="B19" s="15" t="n">
        <x:f>'ShoppingList'!H10</x:f>
        <x:v>2.5</x:v>
      </x:c>
      <x:c r="C19" s="15" t="n">
        <x:f>'ShoppingList'!J10</x:f>
        <x:v>0.15</x:v>
      </x:c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8:B8">
    <x:cfRule type="expression" dxfId="1" priority="1">
      <x:formula>$B$8&gt;$B$9</x:formula>
    </x:cfRule>
  </x:conditionalFormatting>
  <x:conditionalFormatting sqref="B10:B11">
    <x:cfRule type="expression" dxfId="2" priority="2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d78029d95f6944ed"/>
</x:worksheet>
</file>