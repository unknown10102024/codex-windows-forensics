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9776ea160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bed1afd4a60f4e90"/>
    <x:sheet xmlns:r="http://schemas.openxmlformats.org/officeDocument/2006/relationships" name="Ingredients" sheetId="2" r:id="Rd0439be2dfc64384"/>
    <x:sheet xmlns:r="http://schemas.openxmlformats.org/officeDocument/2006/relationships" name="ShoppingList" sheetId="3" r:id="Ra0a7b164b8bb405a"/>
    <x:sheet xmlns:r="http://schemas.openxmlformats.org/officeDocument/2006/relationships" name="Dashboard" sheetId="4" r:id="Re58204a49d1247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$#,##0.00;[Red]-$#,##0.00"/>
    <x:numFmt numFmtId="202" formatCode="0.0"/>
  </x:numFmts>
  <x:fonts count="5">
    <x:font>
      <x:sz val="11"/>
      <x:name val="Carlito"/>
    </x:font>
    <x:font>
      <x:sz val="11"/>
      <x:color rgb="FF243746"/>
      <x:name val="Arial"/>
    </x:font>
    <x:font>
      <x:b/>
      <x:sz val="16"/>
      <x:color rgb="FF233B53"/>
      <x:name val="Arial"/>
    </x:font>
    <x:font>
      <x:b/>
      <x:sz val="11"/>
      <x:color rgb="FFFFFFFF"/>
      <x:name val="Arial"/>
    </x:font>
    <x:font>
      <x:b/>
      <x:sz val="11"/>
      <x:color rgb="FF24374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3B53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E7F0FA"/>
        </x:patternFill>
      </x:fill>
    </x:dxf>
    <x:dxf>
      <x:font>
        <x:b/>
        <x:color rgb="FFB42318"/>
      </x:font>
      <x:fill>
        <x:patternFill patternType="solid">
          <x:bgColor rgb="FFFCE4D6"/>
        </x:patternFill>
      </x:fill>
    </x:dxf>
    <x:dxf>
      <x:font>
        <x:b/>
        <x:color rgb="FFB42318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e26c7507cd4bbc" /><Relationship Type="http://schemas.openxmlformats.org/officeDocument/2006/relationships/theme" Target="/xl/theme/theme1.xml" Id="Rf617c8bec0ee458c" /><Relationship Type="http://schemas.openxmlformats.org/officeDocument/2006/relationships/sharedStrings" Target="/xl/sharedStrings.xml" Id="R09d355dbfc044ca0" /><Relationship Type="http://schemas.openxmlformats.org/officeDocument/2006/relationships/worksheet" Target="/xl/worksheets/sheet1.xml" Id="Rbed1afd4a60f4e90" /><Relationship Type="http://schemas.openxmlformats.org/officeDocument/2006/relationships/worksheet" Target="/xl/worksheets/sheet2.xml" Id="Rd0439be2dfc64384" /><Relationship Type="http://schemas.openxmlformats.org/officeDocument/2006/relationships/worksheet" Target="/xl/worksheets/sheet3.xml" Id="Ra0a7b164b8bb405a" /><Relationship Type="http://schemas.openxmlformats.org/officeDocument/2006/relationships/worksheet" Target="/xl/worksheets/sheet4.xml" Id="Re58204a49d1247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7ba1de6ed384465" /><Relationship Type="http://schemas.openxmlformats.org/officeDocument/2006/relationships/chart" Target="/xl/drawings/charts/chart2.xml" Id="Re0438d8d09ba47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426B92"/>
            </a:solidFill>
          </c:spPr>
          <c:cat>
            <c:strRef>
              <c:f>'ShoppingList'!$A$6:$A$10</c:f>
              <c:strCache>
                <c:ptCount val="0"/>
              </c:strCache>
            </c:strRef>
          </c:cat>
          <c:val>
            <c:numRef>
              <c:f>'ShoppingList'!$H$6:$H$10</c:f>
              <c:numCache>
                <c:formatCode>$#,##0.00;[Red]-$#,##0.00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Used-ingredient cost (USD)</c:v>
          </c:tx>
          <c:cat>
            <c:strRef>
              <c:f>'Ingredients'!$A$6:$A$10</c:f>
              <c:strCache>
                <c:ptCount val="0"/>
              </c:strCache>
            </c:strRef>
          </c:cat>
          <c:val>
            <c:numRef>
              <c:f>'Ingredients'!$G$6:$G$10</c:f>
              <c:numCache>
                <c:formatCode>$#,##0.00;[Red]-$#,##0.00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ba1de6ed384465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438d8d09ba47c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sTable" displayName="IngredientsTable" ref="A5:G10" headerRowCount="1" totalsRowCount="0" totalsRowShown="0">
  <x:autoFilter ref="A5:G10"/>
  <x:tableColumns count="7">
    <x:tableColumn id="1" name="Ingredient"/>
    <x:tableColumn id="2" name="Base quantity for 2 servings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c9381182fd4e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bdadfd363cf44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18" hidden="0" customWidth="1"/>
    <x:col min="4" max="4" width="65" hidden="0" customWidth="1"/>
    <x:col min="5" max="5" width="18" hidden="0" customWidth="1"/>
  </x:cols>
  <x:sheetData>
    <x:row r="1" ht="24" customHeight="1">
      <x:c r="A1" s="1"/>
      <x:c r="B1" s="1"/>
      <x:c r="C1" s="1"/>
      <x:c r="D1" s="1"/>
      <x:c r="E1" s="1"/>
    </x:row>
    <x:row r="2" ht="24" customHeight="1">
      <x:c r="A2" s="2" t="str">
        <x:v>Carbonara meal setup</x:v>
      </x:c>
      <x:c r="B2" s="1"/>
      <x:c r="C2" s="1"/>
      <x:c r="D2" s="1"/>
      <x:c r="E2" s="1"/>
    </x:row>
    <x:row r="3" ht="24" customHeight="1">
      <x:c r="A3" s="1"/>
      <x:c r="B3" s="1"/>
      <x:c r="C3" s="1"/>
      <x:c r="D3" s="1"/>
      <x:c r="E3" s="1"/>
    </x:row>
    <x:row r="4" ht="44" customHeight="1">
      <x:c r="A4" s="7" t="str">
        <x:v>Setting</x:v>
      </x:c>
      <x:c r="B4" s="7" t="str">
        <x:v>Value</x:v>
      </x:c>
      <x:c r="C4" s="1"/>
      <x:c r="D4" s="1"/>
      <x:c r="E4" s="1"/>
    </x:row>
    <x:row r="5" ht="24" customHeight="1">
      <x:c r="A5" s="1" t="str">
        <x:v>Base recipe servings</x:v>
      </x:c>
      <x:c r="B5" s="9" t="n">
        <x:v>2</x:v>
      </x:c>
      <x:c r="C5" s="1"/>
      <x:c r="D5" s="1"/>
      <x:c r="E5" s="1"/>
    </x:row>
    <x:row r="6" ht="24" customHeight="1">
      <x:c r="A6" s="1" t="str">
        <x:v>Desired servings</x:v>
      </x:c>
      <x:c r="B6" s="10" t="n">
        <x:v>6</x:v>
      </x:c>
      <x:c r="C6" s="1"/>
      <x:c r="D6" s="1" t="str">
        <x:v>Yellow cells are editable inputs.</x:v>
      </x:c>
      <x:c r="E6" s="1"/>
    </x:row>
    <x:row r="7" ht="24" customHeight="1">
      <x:c r="A7" s="1" t="str">
        <x:v>Shopping budget (USD)</x:v>
      </x:c>
      <x:c r="B7" s="11" t="n">
        <x:v>20</x:v>
      </x:c>
      <x:c r="C7" s="1"/>
      <x:c r="D7" s="1" t="str">
        <x:v>Desired servings: whole numbers from 1 to 20.</x:v>
      </x:c>
      <x:c r="E7" s="1"/>
    </x:row>
    <x:row r="8" ht="24" customHeight="1">
      <x:c r="A8" s="1"/>
      <x:c r="B8" s="1"/>
      <x:c r="C8" s="1"/>
      <x:c r="D8" s="1" t="str">
        <x:v>Budget: zero or any positive amount in USD.</x:v>
      </x:c>
      <x:c r="E8" s="1"/>
    </x:row>
    <x:row r="9" ht="24" customHeight="1">
      <x:c r="A9" s="1"/>
      <x:c r="B9" s="1"/>
      <x:c r="C9" s="1"/>
      <x:c r="D9" s="1" t="str">
        <x:v>Update stock, package sizes and prices on Ingredients.</x:v>
      </x:c>
      <x:c r="E9" s="1"/>
    </x:row>
    <x:row r="10" ht="24" customHeight="1">
      <x:c r="A10" s="1"/>
      <x:c r="B10" s="1"/>
      <x:c r="C10" s="1"/>
      <x:c r="D10" s="1"/>
      <x:c r="E10" s="1"/>
    </x:row>
    <x:row r="11" ht="24" customHeight="1">
      <x:c r="A11" s="1"/>
      <x:c r="B11" s="1"/>
      <x:c r="C11" s="1"/>
      <x:c r="D11" s="1"/>
      <x:c r="E11" s="1"/>
    </x:row>
    <x:row r="12" ht="24" customHeight="1">
      <x:c r="A12" s="1"/>
      <x:c r="B12" s="1"/>
      <x:c r="C12" s="1"/>
      <x:c r="D12" s="1"/>
      <x:c r="E12" s="1"/>
    </x:row>
  </x:sheetData>
  <x:dataValidations count="2">
    <x:dataValidation type="whole" errorStyle="stop" operator="between" showErrorMessage="1" errorTitle="Invalid servings" error="Enter a whole number from 1 to 20." sqref="B6">
      <x:formula1>1</x:formula1>
      <x:formula2>20</x:formula2>
    </x:dataValidation>
    <x:dataValidation type="decimal" errorStyle="stop" operator="greaterThanOrEqual" showErrorMessage="1" errorTitle="Invalid budget" error="Enter a nonnegative number.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Recipe ingredients</x:v>
      </x:c>
      <x:c r="B2" s="1"/>
      <x:c r="C2" s="1"/>
      <x:c r="D2" s="1"/>
      <x:c r="E2" s="1"/>
      <x:c r="F2" s="1"/>
      <x:c r="G2" s="1"/>
    </x:row>
    <x:row r="3" ht="24" customHeight="1">
      <x:c r="A3" s="1" t="str">
        <x:v>Source: user-supplied illustrative quantities and prices. All quantities are grams.</x:v>
      </x:c>
      <x:c r="B3" s="1"/>
      <x:c r="C3" s="1"/>
      <x:c r="D3" s="1"/>
      <x:c r="E3" s="1"/>
      <x:c r="F3" s="1"/>
      <x:c r="G3" s="1"/>
    </x:row>
    <x:row r="4" ht="24" customHeight="1">
      <x:c r="A4" s="1"/>
      <x:c r="B4" s="1"/>
      <x:c r="C4" s="1"/>
      <x:c r="D4" s="1"/>
      <x:c r="E4" s="1"/>
      <x:c r="F4" s="1"/>
      <x:c r="G4" s="1"/>
    </x:row>
    <x:row r="5" ht="44" customHeight="1">
      <x:c r="A5" s="7" t="str">
        <x:v>Ingredient</x:v>
      </x:c>
      <x:c r="B5" s="7" t="str">
        <x:v>Base quantity for 2 servings (g)</x:v>
      </x:c>
      <x:c r="C5" s="7" t="str">
        <x:v>Stock available (g)</x:v>
      </x:c>
      <x:c r="D5" s="7" t="str">
        <x:v>Package size (g)</x:v>
      </x:c>
      <x:c r="E5" s="7" t="str">
        <x:v>Package price (USD)</x:v>
      </x:c>
      <x:c r="F5" s="7" t="str">
        <x:v>Required quantity (g)</x:v>
      </x:c>
      <x:c r="G5" s="7" t="str">
        <x:v>Used-ingredient cost (USD)</x:v>
      </x:c>
    </x:row>
    <x:row r="6" ht="24" customHeight="1">
      <x:c r="A6" s="8" t="str">
        <x:v>Spaghetti (dry)</x:v>
      </x:c>
      <x:c r="B6" s="12" t="n">
        <x:v>200</x:v>
      </x:c>
      <x:c r="C6" s="12" t="n">
        <x:v>100</x:v>
      </x:c>
      <x:c r="D6" s="12" t="n">
        <x:v>500</x:v>
      </x:c>
      <x:c r="E6" s="11" t="n">
        <x:v>2.5</x:v>
      </x:c>
      <x:c r="F6" s="13" t="n">
        <x:f>B6*Setup!$B$6/Setup!$B$5</x:f>
        <x:v>600</x:v>
      </x:c>
      <x:c r="G6" s="14" t="n">
        <x:f>F6/D6*E6</x:f>
        <x:v>3</x:v>
      </x:c>
    </x:row>
    <x:row r="7" ht="24" customHeight="1">
      <x:c r="A7" s="8" t="str">
        <x:v>Guanciale</x:v>
      </x:c>
      <x:c r="B7" s="12" t="n">
        <x:v>80</x:v>
      </x:c>
      <x:c r="C7" s="12" t="n">
        <x:v>20</x:v>
      </x:c>
      <x:c r="D7" s="12" t="n">
        <x:v>100</x:v>
      </x:c>
      <x:c r="E7" s="11" t="n">
        <x:v>4</x:v>
      </x:c>
      <x:c r="F7" s="13" t="n">
        <x:f>B7*Setup!$B$6/Setup!$B$5</x:f>
        <x:v>240</x:v>
      </x:c>
      <x:c r="G7" s="14" t="n">
        <x:f>F7/D7*E7</x:f>
        <x:v>9.6</x:v>
      </x:c>
    </x:row>
    <x:row r="8" ht="24" customHeight="1">
      <x:c r="A8" s="8" t="str">
        <x:v>Egg yolks</x:v>
      </x:c>
      <x:c r="B8" s="12" t="n">
        <x:v>36</x:v>
      </x:c>
      <x:c r="C8" s="12" t="n">
        <x:v>0</x:v>
      </x:c>
      <x:c r="D8" s="12" t="n">
        <x:v>36</x:v>
      </x:c>
      <x:c r="E8" s="11" t="n">
        <x:v>0.54</x:v>
      </x:c>
      <x:c r="F8" s="13" t="n">
        <x:f>B8*Setup!$B$6/Setup!$B$5</x:f>
        <x:v>108</x:v>
      </x:c>
      <x:c r="G8" s="14" t="n">
        <x:f>F8/D8*E8</x:f>
        <x:v>1.62</x:v>
      </x:c>
    </x:row>
    <x:row r="9" ht="24" customHeight="1">
      <x:c r="A9" s="8" t="str">
        <x:v>Pecorino Romano</x:v>
      </x:c>
      <x:c r="B9" s="12" t="n">
        <x:v>40</x:v>
      </x:c>
      <x:c r="C9" s="12" t="n">
        <x:v>10</x:v>
      </x:c>
      <x:c r="D9" s="12" t="n">
        <x:v>100</x:v>
      </x:c>
      <x:c r="E9" s="11" t="n">
        <x:v>3.5</x:v>
      </x:c>
      <x:c r="F9" s="13" t="n">
        <x:f>B9*Setup!$B$6/Setup!$B$5</x:f>
        <x:v>120</x:v>
      </x:c>
      <x:c r="G9" s="14" t="n">
        <x:f>F9/D9*E9</x:f>
        <x:v>4.2</x:v>
      </x:c>
    </x:row>
    <x:row r="10" ht="24" customHeight="1">
      <x:c r="A10" s="8" t="str">
        <x:v>Black pepper</x:v>
      </x:c>
      <x:c r="B10" s="12" t="n">
        <x:v>1</x:v>
      </x:c>
      <x:c r="C10" s="12" t="n">
        <x:v>2</x:v>
      </x:c>
      <x:c r="D10" s="12" t="n">
        <x:v>50</x:v>
      </x:c>
      <x:c r="E10" s="11" t="n">
        <x:v>2.5</x:v>
      </x:c>
      <x:c r="F10" s="13" t="n">
        <x:f>B10*Setup!$B$6/Setup!$B$5</x:f>
        <x:v>3</x:v>
      </x:c>
      <x:c r="G10" s="14" t="n">
        <x:f>F10/D10*E10</x:f>
        <x:v>0.15</x:v>
      </x:c>
    </x:row>
    <x:row r="11" ht="24" customHeight="1">
      <x:c r="A11" s="1"/>
      <x:c r="B11" s="1"/>
      <x:c r="C11" s="1"/>
      <x:c r="D11" s="1"/>
      <x:c r="E11" s="1"/>
      <x:c r="F11" s="1"/>
      <x:c r="G11" s="1"/>
    </x:row>
    <x:row r="12" ht="24" customHeight="1">
      <x:c r="A12" s="1" t="str">
        <x:v>Egg yolks are weighed without shells or egg whites.</x:v>
      </x:c>
      <x:c r="B12" s="1"/>
      <x:c r="C12" s="1"/>
      <x:c r="D12" s="1"/>
      <x:c r="E12" s="1"/>
      <x:c r="F12" s="1"/>
      <x:c r="G12" s="1"/>
    </x:row>
    <x:row r="13" ht="24" customHeight="1">
      <x:c r="A13" s="1" t="str">
        <x:v>Used cost values all required ingredients at the entered package unit prices, including stock.</x:v>
      </x:c>
      <x:c r="B13" s="1"/>
      <x:c r="C13" s="1"/>
      <x:c r="D13" s="1"/>
      <x:c r="E13" s="1"/>
      <x:c r="F13" s="1"/>
      <x:c r="G13" s="1"/>
    </x:row>
  </x:sheetData>
  <x:pageMargins left="0.7" right="0.7" top="0.75" bottom="0.75" header="0.3" footer="0.3"/>
  <x:tableParts count="1">
    <x:tablePart xmlns:r="http://schemas.openxmlformats.org/officeDocument/2006/relationships" r:id="R09c9381182fd4eb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Shopping list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 t="str">
        <x:v>Desired servings</x:v>
      </x:c>
      <x:c r="B3" s="1" t="n">
        <x:f>Setup!B6</x:f>
        <x:v>6</x:v>
      </x:c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4" customHeight="1">
      <x:c r="A5" s="7" t="str">
        <x:v>Ingredient</x:v>
      </x:c>
      <x:c r="B5" s="7" t="str">
        <x:v>Required (g)</x:v>
      </x:c>
      <x:c r="C5" s="7" t="str">
        <x:v>Stock available (g)</x:v>
      </x:c>
      <x:c r="D5" s="7" t="str">
        <x:v>Additional needed (g)</x:v>
      </x:c>
      <x:c r="E5" s="7" t="str">
        <x:v>Package size (g)</x:v>
      </x:c>
      <x:c r="F5" s="7" t="str">
        <x:v>Packages to buy</x:v>
      </x:c>
      <x:c r="G5" s="7" t="str">
        <x:v>Package price (USD)</x:v>
      </x:c>
      <x:c r="H5" s="7" t="str">
        <x:v>Purchase cost (USD)</x:v>
      </x:c>
      <x:c r="I5" s="7" t="str">
        <x:v>Stock after cooking (g)</x:v>
      </x:c>
      <x:c r="J5" s="7" t="str">
        <x:v>Used-ingredient cost (USD)</x:v>
      </x:c>
    </x:row>
    <x:row r="6" ht="24" customHeight="1">
      <x:c r="A6" s="1" t="str">
        <x:f>Ingredients!A6</x:f>
        <x:v>Spaghetti (dry)</x:v>
      </x:c>
      <x:c r="B6" s="13" t="n">
        <x:f>Ingredients!F6</x:f>
        <x:v>600</x:v>
      </x:c>
      <x:c r="C6" s="13" t="n">
        <x:f>Ingredients!C6</x:f>
        <x:v>100</x:v>
      </x:c>
      <x:c r="D6" s="13" t="n">
        <x:f>MAX(0,B6-C6)</x:f>
        <x:v>500</x:v>
      </x:c>
      <x:c r="E6" s="13" t="n">
        <x:f>Ingredients!D6</x:f>
        <x:v>500</x:v>
      </x:c>
      <x:c r="F6" s="9" t="n">
        <x:f>ROUNDUP(D6/E6,0)</x:f>
        <x:v>1</x:v>
      </x:c>
      <x:c r="G6" s="14" t="n">
        <x:f>Ingredients!E6</x:f>
        <x:v>2.5</x:v>
      </x:c>
      <x:c r="H6" s="14" t="n">
        <x:f>F6*G6</x:f>
        <x:v>2.5</x:v>
      </x:c>
      <x:c r="I6" s="13" t="n">
        <x:f>C6+F6*E6-B6</x:f>
        <x:v>0</x:v>
      </x:c>
      <x:c r="J6" s="14" t="n">
        <x:f>Ingredients!G6</x:f>
        <x:v>3</x:v>
      </x:c>
    </x:row>
    <x:row r="7" ht="24" customHeight="1">
      <x:c r="A7" s="1" t="str">
        <x:f>Ingredients!A7</x:f>
        <x:v>Guanciale</x:v>
      </x:c>
      <x:c r="B7" s="13" t="n">
        <x:f>Ingredients!F7</x:f>
        <x:v>240</x:v>
      </x:c>
      <x:c r="C7" s="13" t="n">
        <x:f>Ingredients!C7</x:f>
        <x:v>20</x:v>
      </x:c>
      <x:c r="D7" s="13" t="n">
        <x:f>MAX(0,B7-C7)</x:f>
        <x:v>220</x:v>
      </x:c>
      <x:c r="E7" s="13" t="n">
        <x:f>Ingredients!D7</x:f>
        <x:v>100</x:v>
      </x:c>
      <x:c r="F7" s="9" t="n">
        <x:f>ROUNDUP(D7/E7,0)</x:f>
        <x:v>3</x:v>
      </x:c>
      <x:c r="G7" s="14" t="n">
        <x:f>Ingredients!E7</x:f>
        <x:v>4</x:v>
      </x:c>
      <x:c r="H7" s="14" t="n">
        <x:f>F7*G7</x:f>
        <x:v>12</x:v>
      </x:c>
      <x:c r="I7" s="13" t="n">
        <x:f>C7+F7*E7-B7</x:f>
        <x:v>80</x:v>
      </x:c>
      <x:c r="J7" s="14" t="n">
        <x:f>Ingredients!G7</x:f>
        <x:v>9.6</x:v>
      </x:c>
    </x:row>
    <x:row r="8" ht="24" customHeight="1">
      <x:c r="A8" s="1" t="str">
        <x:f>Ingredients!A8</x:f>
        <x:v>Egg yolks</x:v>
      </x:c>
      <x:c r="B8" s="13" t="n">
        <x:f>Ingredients!F8</x:f>
        <x:v>108</x:v>
      </x:c>
      <x:c r="C8" s="13" t="n">
        <x:f>Ingredients!C8</x:f>
        <x:v>0</x:v>
      </x:c>
      <x:c r="D8" s="13" t="n">
        <x:f>MAX(0,B8-C8)</x:f>
        <x:v>108</x:v>
      </x:c>
      <x:c r="E8" s="13" t="n">
        <x:f>Ingredients!D8</x:f>
        <x:v>36</x:v>
      </x:c>
      <x:c r="F8" s="9" t="n">
        <x:f>ROUNDUP(D8/E8,0)</x:f>
        <x:v>3</x:v>
      </x:c>
      <x:c r="G8" s="14" t="n">
        <x:f>Ingredients!E8</x:f>
        <x:v>0.54</x:v>
      </x:c>
      <x:c r="H8" s="14" t="n">
        <x:f>F8*G8</x:f>
        <x:v>1.62</x:v>
      </x:c>
      <x:c r="I8" s="13" t="n">
        <x:f>C8+F8*E8-B8</x:f>
        <x:v>0</x:v>
      </x:c>
      <x:c r="J8" s="14" t="n">
        <x:f>Ingredients!G8</x:f>
        <x:v>1.62</x:v>
      </x:c>
    </x:row>
    <x:row r="9" ht="24" customHeight="1">
      <x:c r="A9" s="1" t="str">
        <x:f>Ingredients!A9</x:f>
        <x:v>Pecorino Romano</x:v>
      </x:c>
      <x:c r="B9" s="13" t="n">
        <x:f>Ingredients!F9</x:f>
        <x:v>120</x:v>
      </x:c>
      <x:c r="C9" s="13" t="n">
        <x:f>Ingredients!C9</x:f>
        <x:v>10</x:v>
      </x:c>
      <x:c r="D9" s="13" t="n">
        <x:f>MAX(0,B9-C9)</x:f>
        <x:v>110</x:v>
      </x:c>
      <x:c r="E9" s="13" t="n">
        <x:f>Ingredients!D9</x:f>
        <x:v>100</x:v>
      </x:c>
      <x:c r="F9" s="9" t="n">
        <x:f>ROUNDUP(D9/E9,0)</x:f>
        <x:v>2</x:v>
      </x:c>
      <x:c r="G9" s="14" t="n">
        <x:f>Ingredients!E9</x:f>
        <x:v>3.5</x:v>
      </x:c>
      <x:c r="H9" s="14" t="n">
        <x:f>F9*G9</x:f>
        <x:v>7</x:v>
      </x:c>
      <x:c r="I9" s="13" t="n">
        <x:f>C9+F9*E9-B9</x:f>
        <x:v>90</x:v>
      </x:c>
      <x:c r="J9" s="14" t="n">
        <x:f>Ingredients!G9</x:f>
        <x:v>4.2</x:v>
      </x:c>
    </x:row>
    <x:row r="10" ht="24" customHeight="1">
      <x:c r="A10" s="1" t="str">
        <x:f>Ingredients!A10</x:f>
        <x:v>Black pepper</x:v>
      </x:c>
      <x:c r="B10" s="13" t="n">
        <x:f>Ingredients!F10</x:f>
        <x:v>3</x:v>
      </x:c>
      <x:c r="C10" s="13" t="n">
        <x:f>Ingredients!C10</x:f>
        <x:v>2</x:v>
      </x:c>
      <x:c r="D10" s="13" t="n">
        <x:f>MAX(0,B10-C10)</x:f>
        <x:v>1</x:v>
      </x:c>
      <x:c r="E10" s="13" t="n">
        <x:f>Ingredients!D10</x:f>
        <x:v>50</x:v>
      </x:c>
      <x:c r="F10" s="9" t="n">
        <x:f>ROUNDUP(D10/E10,0)</x:f>
        <x:v>1</x:v>
      </x:c>
      <x:c r="G10" s="14" t="n">
        <x:f>Ingredients!E10</x:f>
        <x:v>2.5</x:v>
      </x:c>
      <x:c r="H10" s="14" t="n">
        <x:f>F10*G10</x:f>
        <x:v>2.5</x:v>
      </x:c>
      <x:c r="I10" s="13" t="n">
        <x:f>C10+F10*E10-B10</x:f>
        <x:v>49</x:v>
      </x:c>
      <x:c r="J10" s="14" t="n">
        <x:f>Ingredients!G10</x:f>
        <x:v>0.15</x:v>
      </x:c>
    </x:row>
    <x:row r="11" ht="24" customHeight="1">
      <x:c r="A11" s="1"/>
      <x:c r="B11" s="1"/>
      <x:c r="C11" s="1"/>
      <x:c r="D11" s="1"/>
      <x:c r="E11" s="1"/>
      <x:c r="F11" s="1"/>
      <x:c r="G11" s="14"/>
      <x:c r="H11" s="14"/>
      <x:c r="I11" s="1"/>
      <x:c r="J11" s="14"/>
    </x:row>
    <x:row r="12" ht="24" customHeight="1">
      <x:c r="A12" s="15" t="str">
        <x:v>Total (USD)</x:v>
      </x:c>
      <x:c r="B12" s="15"/>
      <x:c r="C12" s="15"/>
      <x:c r="D12" s="15"/>
      <x:c r="E12" s="15"/>
      <x:c r="F12" s="15"/>
      <x:c r="G12" s="16"/>
      <x:c r="H12" s="16" t="n">
        <x:f>SUM(H6:H10)</x:f>
        <x:v>25.62</x:v>
      </x:c>
      <x:c r="I12" s="15"/>
      <x:c r="J12" s="16" t="n">
        <x:f>SUM(J6:J10)</x:f>
        <x:v>18.569999999999997</x:v>
      </x:c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</x:sheetData>
  <x:conditionalFormatting sqref="A6:J10">
    <x:cfRule type="expression" dxfId="0" priority="1">
      <x:formula>$F6&gt;0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33B53"/>
  </x:sheetPr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2" t="str">
        <x:v>Carbonara cost dashboard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4" customHeight="1">
      <x:c r="A4" s="1" t="str">
        <x:v>Desired servings</x:v>
      </x:c>
      <x:c r="B4" s="9" t="n">
        <x:f>Setup!B6</x:f>
        <x:v>6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4" customHeight="1">
      <x:c r="A5" s="1" t="str">
        <x:v>Total used-ingredient cost</x:v>
      </x:c>
      <x:c r="B5" s="14" t="n">
        <x:f>ShoppingList!J12</x:f>
        <x:v>18.569999999999997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4" customHeight="1">
      <x:c r="A6" s="1" t="str">
        <x:v>Used cost per serving</x:v>
      </x:c>
      <x:c r="B6" s="14" t="n">
        <x:f>B5/B4</x:f>
        <x:v>3.0949999999999993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4" customHeight="1">
      <x:c r="A7" s="15" t="str">
        <x:v>Total purchase cost</x:v>
      </x:c>
      <x:c r="B7" s="16" t="n">
        <x:f>ShoppingList!H12</x:f>
        <x:v>25.62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4" customHeight="1">
      <x:c r="A8" s="1" t="str">
        <x:v>Shopping budget</x:v>
      </x:c>
      <x:c r="B8" s="14" t="n">
        <x:f>Setup!B7</x:f>
        <x:v>20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4" customHeight="1">
      <x:c r="A9" s="1" t="str">
        <x:v>Budget remaining</x:v>
      </x:c>
      <x:c r="B9" s="14" t="n">
        <x:f>B8-B7</x:f>
        <x:v>-5.620000000000001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4" customHeight="1">
      <x:c r="A10" s="1" t="str">
        <x:v>Budget status</x:v>
      </x:c>
      <x:c r="B10" s="1" t="str">
        <x:f>IF(B7&lt;=B8,"Within budget","Over budget")</x:f>
        <x:v>Over budget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4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4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4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4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</x:sheetData>
  <x:conditionalFormatting sqref="B7:B7">
    <x:cfRule type="expression" dxfId="1" priority="1">
      <x:formula>B7&gt;B8</x:formula>
    </x:cfRule>
  </x:conditionalFormatting>
  <x:conditionalFormatting sqref="B10:B10">
    <x:cfRule type="expression" dxfId="2" priority="2">
      <x:formula>B7&gt;B8</x:formula>
    </x:cfRule>
  </x:conditionalFormatting>
  <x:pageMargins left="0.7" right="0.7" top="0.75" bottom="0.75" header="0.3" footer="0.3"/>
  <x:drawing xmlns:r="http://schemas.openxmlformats.org/officeDocument/2006/relationships" r:id="Rabdadfd363cf4404"/>
</x:worksheet>
</file>