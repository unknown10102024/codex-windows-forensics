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Codex\2026-10-03\create-an-editable-excel-workbook-for-19\outputs\"/>
    </mc:Choice>
  </mc:AlternateContent>
  <xr:revisionPtr revIDLastSave="0" documentId="13_ncr:1_{3B05CEFE-262C-4FB4-A000-00E7F3B46847}" xr6:coauthVersionLast="47" xr6:coauthVersionMax="47" xr10:uidLastSave="{00000000-0000-0000-0000-000000000000}"/>
  <bookViews>
    <workbookView xWindow="-120" yWindow="-120" windowWidth="38610" windowHeight="18720" activeTab="3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4" l="1"/>
  <c r="C5" i="4"/>
  <c r="G10" i="3"/>
  <c r="F10" i="3"/>
  <c r="D10" i="3"/>
  <c r="B10" i="3"/>
  <c r="E9" i="4" s="1"/>
  <c r="G9" i="3"/>
  <c r="F9" i="3"/>
  <c r="D9" i="3"/>
  <c r="B9" i="3"/>
  <c r="E8" i="4" s="1"/>
  <c r="G8" i="3"/>
  <c r="F8" i="3"/>
  <c r="D8" i="3"/>
  <c r="B8" i="3"/>
  <c r="E7" i="4" s="1"/>
  <c r="G7" i="3"/>
  <c r="F7" i="3"/>
  <c r="D7" i="3"/>
  <c r="B7" i="3"/>
  <c r="E6" i="4" s="1"/>
  <c r="G6" i="3"/>
  <c r="F6" i="3"/>
  <c r="D6" i="3"/>
  <c r="B6" i="3"/>
  <c r="E5" i="4" s="1"/>
  <c r="F3" i="3"/>
  <c r="C3" i="3"/>
  <c r="G10" i="2"/>
  <c r="C10" i="3" s="1"/>
  <c r="E10" i="3" s="1"/>
  <c r="G9" i="2"/>
  <c r="H9" i="2" s="1"/>
  <c r="K9" i="3" s="1"/>
  <c r="G8" i="4" s="1"/>
  <c r="G8" i="2"/>
  <c r="C8" i="3" s="1"/>
  <c r="E8" i="3" s="1"/>
  <c r="G7" i="2"/>
  <c r="H7" i="2" s="1"/>
  <c r="K7" i="3" s="1"/>
  <c r="G6" i="4" s="1"/>
  <c r="G6" i="2"/>
  <c r="C6" i="3" s="1"/>
  <c r="E6" i="3" s="1"/>
  <c r="H6" i="3" l="1"/>
  <c r="I6" i="3" s="1"/>
  <c r="F5" i="4" s="1"/>
  <c r="H8" i="3"/>
  <c r="I8" i="3" s="1"/>
  <c r="F7" i="4" s="1"/>
  <c r="H10" i="3"/>
  <c r="I10" i="3" s="1"/>
  <c r="F9" i="4" s="1"/>
  <c r="C7" i="3"/>
  <c r="E7" i="3" s="1"/>
  <c r="H7" i="3" s="1"/>
  <c r="I7" i="3" s="1"/>
  <c r="F6" i="4" s="1"/>
  <c r="J8" i="3"/>
  <c r="C9" i="3"/>
  <c r="E9" i="3" s="1"/>
  <c r="H9" i="3" s="1"/>
  <c r="I9" i="3" s="1"/>
  <c r="F8" i="4" s="1"/>
  <c r="H6" i="2"/>
  <c r="K6" i="3" s="1"/>
  <c r="G5" i="4" s="1"/>
  <c r="H8" i="2"/>
  <c r="K8" i="3" s="1"/>
  <c r="G7" i="4" s="1"/>
  <c r="H10" i="2"/>
  <c r="K10" i="3" s="1"/>
  <c r="G9" i="4" s="1"/>
  <c r="J9" i="3" l="1"/>
  <c r="J10" i="3"/>
  <c r="J6" i="3"/>
  <c r="I12" i="3"/>
  <c r="C8" i="4" s="1"/>
  <c r="C11" i="4" s="1"/>
  <c r="K12" i="3"/>
  <c r="C6" i="4" s="1"/>
  <c r="H7" i="4" s="1"/>
  <c r="J7" i="3"/>
  <c r="H9" i="4"/>
  <c r="H8" i="4"/>
  <c r="C7" i="4" l="1"/>
  <c r="C10" i="4"/>
  <c r="H6" i="4"/>
  <c r="H5" i="4"/>
</calcChain>
</file>

<file path=xl/sharedStrings.xml><?xml version="1.0" encoding="utf-8"?>
<sst xmlns="http://schemas.openxmlformats.org/spreadsheetml/2006/main" count="60" uniqueCount="49">
  <si>
    <t>Carbonara meal setup</t>
  </si>
  <si>
    <t>Setting</t>
  </si>
  <si>
    <t>Value</t>
  </si>
  <si>
    <t>Input guidance</t>
  </si>
  <si>
    <t>Base recipe servings</t>
  </si>
  <si>
    <t>The ingredient quantities are based on 2 servings.</t>
  </si>
  <si>
    <t>Desired servings</t>
  </si>
  <si>
    <t>Enter a whole number from 1 to 20.</t>
  </si>
  <si>
    <t>Shopping budget (USD)</t>
  </si>
  <si>
    <t>Enter a nonnegative amount in USD.</t>
  </si>
  <si>
    <t>How to use</t>
  </si>
  <si>
    <t>Edit amber cells in Setup and Ingredients. Calculations and charts update automatically.</t>
  </si>
  <si>
    <t>All quantities and package sizes are in grams. All costs are in USD.</t>
  </si>
  <si>
    <t>Recipe ingredients</t>
  </si>
  <si>
    <t>Source: supplied illustrative data. Amber cells are editable.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</si>
  <si>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</si>
  <si>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</si>
  <si>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</si>
  <si>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</si>
  <si>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</si>
  <si>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</si>
  <si>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</si>
  <si>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</si>
  <si>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</si>
  <si>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</si>
  <si>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</si>
  <si>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</si>
  <si>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Egg yolks are weighed without shells or egg whites.</t>
  </si>
  <si>
    <t>Used cost = required quantity / package size × package price, including ingredients taken from stock.</t>
  </si>
  <si>
    <t>Shopping list</t>
  </si>
  <si>
    <t>Budget (USD)</t>
  </si>
  <si>
    <t>Blue rows require a purchase.</t>
  </si>
  <si>
    <t>Additional needed (g)</t>
  </si>
  <si>
    <t>Whole packages to buy</t>
  </si>
  <si>
    <t>Purchase cost (USD)</t>
  </si>
  <si>
    <t>Stock after cooking (g)</t>
  </si>
  <si>
    <t>Totals (USD)</t>
  </si>
  <si>
    <t>Buy whole packages after using available stock. Zero-purchase ingredients remain in the list.</t>
  </si>
  <si>
    <t>Carbonara cost dashboard</t>
  </si>
  <si>
    <t>Meal summary</t>
  </si>
  <si>
    <t>Used cost (USD)</t>
  </si>
  <si>
    <t>Share of used cost</t>
  </si>
  <si>
    <t>Total used-ingredient cost</t>
  </si>
  <si>
    <t>Used cost per serving</t>
  </si>
  <si>
    <t>Total purchase cost</t>
  </si>
  <si>
    <t>Shopping budget</t>
  </si>
  <si>
    <t>Budget remaining</t>
  </si>
  <si>
    <t>Budget status</t>
  </si>
  <si>
    <t>Purchase cost covers whole packages. Used cost includes ingredients consumed from stock.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</si>
</sst>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;&quot;$&quot;0.00"/>
    <numFmt numFmtId="165" formatCode="#,##0.0"/>
    <numFmt numFmtId="166" formatCode="0.0%"/>
  </numFmts>
  <fonts count="6">
    <font>
      <sz val="11"/>
      <name val="Carlito"/>
    </font>
    <font>
      <sz val="11"/>
      <color rgb="FF24343C"/>
      <name val="Arial"/>
    </font>
    <font>
      <b/>
      <sz val="17"/>
      <color rgb="FF253E49"/>
      <name val="Arial"/>
    </font>
    <font>
      <b/>
      <sz val="11"/>
      <color rgb="FFFFFFFF"/>
      <name val="Arial"/>
    </font>
    <font>
      <b/>
      <sz val="11"/>
      <color rgb="FF24343C"/>
      <name val="Arial"/>
    </font>
    <font>
      <i/>
      <sz val="11"/>
      <color rgb="FF66767E"/>
      <name val="Arial"/>
    </font>
  </fonts>
  <fills count="6">
    <fill>
      <patternFill patternType="none"/>
    </fill>
    <fill>
      <patternFill patternType="gray125"/>
    </fill>
    <fill>
      <patternFill patternType="solid">
        <fgColor rgb="FF253E49"/>
      </patternFill>
    </fill>
    <fill>
      <patternFill patternType="solid">
        <fgColor rgb="FFF1F5F6"/>
      </patternFill>
    </fill>
    <fill>
      <patternFill patternType="solid">
        <fgColor rgb="FFE9EEF0"/>
      </patternFill>
    </fill>
    <fill>
      <patternFill patternType="solid">
        <fgColor rgb="FFFFF2CD"/>
      </patternFill>
    </fill>
  </fills>
  <borders count="6">
    <border>
      <left/>
      <right/>
      <top/>
      <bottom/>
      <diagonal/>
    </border>
    <border>
      <left/>
      <right/>
      <top/>
      <bottom style="thin">
        <color rgb="FFAABAC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AABAC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 applyAlignment="1">
      <alignment vertical="center"/>
    </xf>
    <xf numFmtId="1" fontId="1" fillId="4" borderId="0" xfId="0" applyNumberFormat="1" applyFont="1" applyFill="1" applyBorder="1" applyAlignment="1">
      <alignment horizontal="right" vertical="center"/>
    </xf>
    <xf numFmtId="1" fontId="1" fillId="5" borderId="0" xfId="0" applyNumberFormat="1" applyFont="1" applyFill="1" applyBorder="1" applyAlignment="1">
      <alignment horizontal="right" vertical="center"/>
    </xf>
    <xf numFmtId="164" fontId="1" fillId="5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165" fontId="1" fillId="5" borderId="0" xfId="0" applyNumberFormat="1" applyFont="1" applyFill="1" applyBorder="1" applyAlignment="1">
      <alignment horizontal="right" vertical="center"/>
    </xf>
    <xf numFmtId="165" fontId="1" fillId="3" borderId="0" xfId="0" applyNumberFormat="1" applyFont="1" applyFill="1" applyBorder="1" applyAlignment="1">
      <alignment horizontal="right" vertical="center"/>
    </xf>
    <xf numFmtId="164" fontId="1" fillId="3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/>
    </xf>
    <xf numFmtId="0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0" fontId="4" fillId="3" borderId="5" xfId="0" applyNumberFormat="1" applyFont="1" applyFill="1" applyBorder="1" applyAlignment="1">
      <alignment vertical="center"/>
    </xf>
    <xf numFmtId="0" fontId="4" fillId="3" borderId="5" xfId="0" applyNumberFormat="1" applyFont="1" applyFill="1" applyBorder="1" applyAlignment="1">
      <alignment horizontal="right" vertical="center"/>
    </xf>
    <xf numFmtId="164" fontId="4" fillId="3" borderId="5" xfId="0" applyNumberFormat="1" applyFont="1" applyFill="1" applyBorder="1" applyAlignment="1">
      <alignment horizontal="right" vertical="center"/>
    </xf>
    <xf numFmtId="166" fontId="1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6">
    <dxf>
      <fill>
        <patternFill patternType="solid">
          <bgColor rgb="FFE5F1F8"/>
        </patternFill>
      </fill>
    </dxf>
    <dxf>
      <font>
        <b/>
        <color rgb="FFA12727"/>
      </font>
      <fill>
        <patternFill patternType="solid">
          <bgColor rgb="FFFCE6E5"/>
        </patternFill>
      </fill>
    </dxf>
    <dxf>
      <font>
        <b/>
        <color rgb="FFA12727"/>
      </font>
      <fill>
        <patternFill patternType="solid">
          <bgColor rgb="FFFCE6E5"/>
        </patternFill>
      </fill>
    </dxf>
    <dxf>
      <font>
        <b/>
        <color rgb="FFA12727"/>
      </font>
      <fill>
        <patternFill patternType="solid">
          <bgColor rgb="FFFCE6E5"/>
        </patternFill>
      </fill>
    </dxf>
    <dxf>
      <font>
        <b/>
        <color rgb="FF1F596F"/>
      </font>
    </dxf>
    <dxf>
      <fill>
        <patternFill patternType="solid">
          <bgColor rgb="FFE5F1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527D8E"/>
            </a:solidFill>
          </c:spPr>
          <c:invertIfNegative val="1"/>
          <c:cat>
            <c:strRef>
              <c:f>Dashboard!$E$5:$E$9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Dashboard!$F$5:$F$9</c:f>
              <c:numCache>
                <c:formatCode>"$"#,##0.00;[Red]\-"$"#,##0.00;"$"0.00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503-401E-9D96-A330F1162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 cost (USD)</c:v>
          </c:tx>
          <c:cat>
            <c:strRef>
              <c:f>Dashboard!$E$5:$E$9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Dashboard!$G$5:$G$9</c:f>
              <c:numCache>
                <c:formatCode>"$"#,##0.00;[Red]\-"$"#,##0.00;"$"0.00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6-411D-86F5-84FF023F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5381625" cy="3333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13</xdr:row>
      <xdr:rowOff>0</xdr:rowOff>
    </xdr:from>
    <xdr:ext cx="4476750" cy="333375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raIngredients" displayName="CarbonaraIngredients" ref="B5:H10" totalsRowShown="0">
  <autoFilter ref="B5:H10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FAEB5"/>
  </sheetPr>
  <dimension ref="B2:F14"/>
  <sheetViews>
    <sheetView showGridLines="0" workbookViewId="0"/>
  </sheetViews>
  <sheetFormatPr defaultRowHeight="14.25"/>
  <cols>
    <col min="1" max="1" width="3" customWidth="1"/>
    <col min="2" max="2" width="31" customWidth="1"/>
    <col min="3" max="3" width="18" customWidth="1"/>
    <col min="4" max="4" width="3" customWidth="1"/>
    <col min="5" max="5" width="64" customWidth="1"/>
    <col min="6" max="6" width="3" customWidth="1"/>
  </cols>
  <sheetData>
    <row r="2" spans="2:6" ht="24" customHeight="1">
      <c r="B2" s="2" t="s">
        <v>0</v>
      </c>
      <c r="C2" s="3"/>
      <c r="D2" s="3"/>
      <c r="E2" s="3"/>
      <c r="F2" s="1"/>
    </row>
    <row r="3" spans="2:6" ht="24" customHeight="1">
      <c r="B3" s="1"/>
      <c r="C3" s="1"/>
      <c r="D3" s="1"/>
      <c r="E3" s="1"/>
      <c r="F3" s="1"/>
    </row>
    <row r="4" spans="2:6" ht="26.1" customHeight="1">
      <c r="B4" s="4" t="s">
        <v>1</v>
      </c>
      <c r="C4" s="5" t="s">
        <v>2</v>
      </c>
      <c r="D4" s="1"/>
      <c r="E4" s="11" t="s">
        <v>3</v>
      </c>
      <c r="F4" s="1"/>
    </row>
    <row r="5" spans="2:6" ht="24" customHeight="1">
      <c r="B5" s="6" t="s">
        <v>4</v>
      </c>
      <c r="C5" s="8">
        <v>2</v>
      </c>
      <c r="D5" s="1"/>
      <c r="E5" s="1" t="s">
        <v>5</v>
      </c>
      <c r="F5" s="1"/>
    </row>
    <row r="6" spans="2:6" ht="24" customHeight="1">
      <c r="B6" s="6" t="s">
        <v>6</v>
      </c>
      <c r="C6" s="9">
        <v>6</v>
      </c>
      <c r="D6" s="1"/>
      <c r="E6" s="1" t="s">
        <v>7</v>
      </c>
      <c r="F6" s="1"/>
    </row>
    <row r="7" spans="2:6" ht="24" customHeight="1">
      <c r="B7" s="6" t="s">
        <v>8</v>
      </c>
      <c r="C7" s="10">
        <v>20</v>
      </c>
      <c r="D7" s="1"/>
      <c r="E7" s="1" t="s">
        <v>9</v>
      </c>
      <c r="F7" s="1"/>
    </row>
    <row r="8" spans="2:6" ht="24" customHeight="1">
      <c r="B8" s="1"/>
      <c r="C8" s="1"/>
      <c r="D8" s="1"/>
      <c r="E8" s="1"/>
      <c r="F8" s="1"/>
    </row>
    <row r="9" spans="2:6" ht="24" customHeight="1">
      <c r="B9" s="1"/>
      <c r="C9" s="1"/>
      <c r="D9" s="1"/>
      <c r="E9" s="1"/>
      <c r="F9" s="1"/>
    </row>
    <row r="10" spans="2:6" ht="24" customHeight="1">
      <c r="B10" s="11" t="s">
        <v>10</v>
      </c>
      <c r="C10" s="1"/>
      <c r="D10" s="1"/>
      <c r="E10" s="1"/>
      <c r="F10" s="1"/>
    </row>
    <row r="11" spans="2:6" ht="24" customHeight="1">
      <c r="B11" s="12" t="s">
        <v>11</v>
      </c>
      <c r="C11" s="1"/>
      <c r="D11" s="1"/>
      <c r="E11" s="1"/>
      <c r="F11" s="1"/>
    </row>
    <row r="12" spans="2:6" ht="24" customHeight="1">
      <c r="B12" s="12" t="s">
        <v>12</v>
      </c>
      <c r="C12" s="1"/>
      <c r="D12" s="1"/>
      <c r="E12" s="1"/>
      <c r="F12" s="1"/>
    </row>
    <row r="13" spans="2:6" ht="24" customHeight="1">
      <c r="B13" s="1"/>
      <c r="C13" s="1"/>
      <c r="D13" s="1"/>
      <c r="E13" s="1"/>
      <c r="F13" s="1"/>
    </row>
    <row r="14" spans="2:6" ht="24" customHeight="1">
      <c r="B14" s="1"/>
      <c r="C14" s="1"/>
      <c r="D14" s="1"/>
      <c r="E14" s="1"/>
      <c r="F14" s="1"/>
    </row>
  </sheetData>
  <dataValidations count="2">
    <dataValidation type="whole" showErrorMessage="1" errorTitle="Invalid input" error="Enter a whole number from 1 through 20." sqref="C6" xr:uid="{00000000-0002-0000-0000-000000000000}">
      <formula1>1</formula1>
      <formula2>20</formula2>
    </dataValidation>
    <dataValidation type="decimal" operator="greaterThanOrEqual" showErrorMessage="1" errorTitle="Invalid input" error="Enter a nonnegative budget in USD." sqref="C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3" customWidth="1"/>
    <col min="2" max="2" width="27" customWidth="1"/>
    <col min="3" max="3" width="19" customWidth="1"/>
    <col min="4" max="5" width="18" customWidth="1"/>
    <col min="6" max="7" width="19" customWidth="1"/>
    <col min="8" max="8" width="22" customWidth="1"/>
  </cols>
  <sheetData>
    <row r="2" spans="2:8" ht="24" customHeight="1">
      <c r="B2" s="2" t="s">
        <v>13</v>
      </c>
      <c r="C2" s="3"/>
      <c r="D2" s="3"/>
      <c r="E2" s="3"/>
      <c r="F2" s="3"/>
      <c r="G2" s="3"/>
      <c r="H2" s="3"/>
    </row>
    <row r="3" spans="2:8" ht="24" customHeight="1">
      <c r="B3" s="12" t="s">
        <v>14</v>
      </c>
      <c r="C3" s="1"/>
      <c r="D3" s="1"/>
      <c r="E3" s="1"/>
      <c r="F3" s="1"/>
      <c r="G3" s="1"/>
      <c r="H3" s="1"/>
    </row>
    <row r="4" spans="2:8" ht="24" customHeight="1">
      <c r="B4" s="1"/>
      <c r="C4" s="1"/>
      <c r="D4" s="1"/>
      <c r="E4" s="1"/>
      <c r="F4" s="1"/>
      <c r="G4" s="1"/>
      <c r="H4" s="1"/>
    </row>
    <row r="5" spans="2:8" ht="48.95" customHeight="1">
      <c r="B5" s="4" t="s">
        <v>15</v>
      </c>
      <c r="C5" s="13" t="s">
        <v>16</v>
      </c>
      <c r="D5" s="13" t="s">
        <v>17</v>
      </c>
      <c r="E5" s="13" t="s">
        <v>18</v>
      </c>
      <c r="F5" s="13" t="s">
        <v>19</v>
      </c>
      <c r="G5" s="13" t="s">
        <v>20</v>
      </c>
      <c r="H5" s="5" t="s">
        <v>21</v>
      </c>
    </row>
    <row r="6" spans="2:8" ht="27" customHeight="1">
      <c r="B6" s="7" t="s">
        <v>22</v>
      </c>
      <c r="C6" s="14">
        <v>200</v>
      </c>
      <c r="D6" s="14">
        <v>100</v>
      </c>
      <c r="E6" s="14">
        <v>500</v>
      </c>
      <c r="F6" s="10">
        <v>2.5</v>
      </c>
      <c r="G6" s="15">
        <f>C6*Setup!$C$6/Setup!$C$5</f>
        <v>600</v>
      </c>
      <c r="H6" s="16">
        <f>G6/E6*F6</f>
        <v>3</v>
      </c>
    </row>
    <row r="7" spans="2:8" ht="27" customHeight="1">
      <c r="B7" s="7" t="s">
        <v>23</v>
      </c>
      <c r="C7" s="14">
        <v>80</v>
      </c>
      <c r="D7" s="14">
        <v>20</v>
      </c>
      <c r="E7" s="14">
        <v>100</v>
      </c>
      <c r="F7" s="10">
        <v>4</v>
      </c>
      <c r="G7" s="15">
        <f>C7*Setup!$C$6/Setup!$C$5</f>
        <v>240</v>
      </c>
      <c r="H7" s="16">
        <f>G7/E7*F7</f>
        <v>9.6</v>
      </c>
    </row>
    <row r="8" spans="2:8" ht="27" customHeight="1">
      <c r="B8" s="7" t="s">
        <v>24</v>
      </c>
      <c r="C8" s="14">
        <v>36</v>
      </c>
      <c r="D8" s="14">
        <v>0</v>
      </c>
      <c r="E8" s="14">
        <v>36</v>
      </c>
      <c r="F8" s="10">
        <v>0.54</v>
      </c>
      <c r="G8" s="15">
        <f>C8*Setup!$C$6/Setup!$C$5</f>
        <v>108</v>
      </c>
      <c r="H8" s="16">
        <f>G8/E8*F8</f>
        <v>1.62</v>
      </c>
    </row>
    <row r="9" spans="2:8" ht="27" customHeight="1">
      <c r="B9" s="7" t="s">
        <v>25</v>
      </c>
      <c r="C9" s="14">
        <v>40</v>
      </c>
      <c r="D9" s="14">
        <v>10</v>
      </c>
      <c r="E9" s="14">
        <v>100</v>
      </c>
      <c r="F9" s="10">
        <v>3.5</v>
      </c>
      <c r="G9" s="15">
        <f>C9*Setup!$C$6/Setup!$C$5</f>
        <v>120</v>
      </c>
      <c r="H9" s="16">
        <f>G9/E9*F9</f>
        <v>4.2</v>
      </c>
    </row>
    <row r="10" spans="2:8" ht="27" customHeight="1">
      <c r="B10" s="7" t="s">
        <v>26</v>
      </c>
      <c r="C10" s="14">
        <v>1</v>
      </c>
      <c r="D10" s="14">
        <v>2</v>
      </c>
      <c r="E10" s="14">
        <v>50</v>
      </c>
      <c r="F10" s="10">
        <v>2.5</v>
      </c>
      <c r="G10" s="15">
        <f>C10*Setup!$C$6/Setup!$C$5</f>
        <v>3</v>
      </c>
      <c r="H10" s="16">
        <f>G10/E10*F10</f>
        <v>0.15</v>
      </c>
    </row>
    <row r="11" spans="2:8" ht="24" customHeight="1">
      <c r="B11" s="1"/>
      <c r="C11" s="1"/>
      <c r="D11" s="1"/>
      <c r="E11" s="1"/>
      <c r="F11" s="1"/>
      <c r="G11" s="1"/>
      <c r="H11" s="1"/>
    </row>
    <row r="12" spans="2:8" ht="24" customHeight="1">
      <c r="B12" s="12" t="s">
        <v>27</v>
      </c>
      <c r="C12" s="1"/>
      <c r="D12" s="1"/>
      <c r="E12" s="1"/>
      <c r="F12" s="1"/>
      <c r="G12" s="1"/>
      <c r="H12" s="1"/>
    </row>
    <row r="13" spans="2:8" ht="24" customHeight="1">
      <c r="B13" s="12" t="s">
        <v>28</v>
      </c>
      <c r="C13" s="1"/>
      <c r="D13" s="1"/>
      <c r="E13" s="1"/>
      <c r="F13" s="1"/>
      <c r="G13" s="1"/>
      <c r="H13" s="1"/>
    </row>
    <row r="14" spans="2:8" ht="24" customHeight="1">
      <c r="B14" s="1"/>
      <c r="C14" s="1"/>
      <c r="D14" s="1"/>
      <c r="E14" s="1"/>
      <c r="F14" s="1"/>
      <c r="G14" s="1"/>
      <c r="H14" s="1"/>
    </row>
  </sheetData>
  <dataValidations count="3">
    <dataValidation type="decimal" operator="greaterThanOrEqual" showErrorMessage="1" errorTitle="Invalid input" error="Enter a nonnegative quantity in grams." sqref="C6:D10" xr:uid="{00000000-0002-0000-0100-000000000000}">
      <formula1>0</formula1>
    </dataValidation>
    <dataValidation type="decimal" operator="greaterThan" showErrorMessage="1" errorTitle="Invalid input" error="Package size must be greater than zero." sqref="E6:E10" xr:uid="{00000000-0002-0000-0100-000001000000}">
      <formula1>0</formula1>
    </dataValidation>
    <dataValidation type="decimal" operator="greaterThanOrEqual" showErrorMessage="1" errorTitle="Invalid input" error="Enter a nonnegative package price in USD." sqref="F6:F10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25"/>
  <cols>
    <col min="1" max="1" width="3" customWidth="1"/>
    <col min="2" max="2" width="27" customWidth="1"/>
    <col min="3" max="4" width="16" customWidth="1"/>
    <col min="5" max="5" width="17" customWidth="1"/>
    <col min="6" max="6" width="16" customWidth="1"/>
    <col min="7" max="7" width="17" customWidth="1"/>
    <col min="8" max="8" width="15" customWidth="1"/>
    <col min="9" max="10" width="18" customWidth="1"/>
    <col min="11" max="11" width="22" customWidth="1"/>
  </cols>
  <sheetData>
    <row r="2" spans="2:11" ht="24" customHeight="1">
      <c r="B2" s="2" t="s">
        <v>29</v>
      </c>
      <c r="C2" s="3"/>
      <c r="D2" s="3"/>
      <c r="E2" s="3"/>
      <c r="F2" s="3"/>
      <c r="G2" s="3"/>
      <c r="H2" s="3"/>
      <c r="I2" s="3"/>
      <c r="J2" s="3"/>
      <c r="K2" s="3"/>
    </row>
    <row r="3" spans="2:11" ht="24" customHeight="1">
      <c r="B3" s="1" t="s">
        <v>6</v>
      </c>
      <c r="C3" s="17">
        <f>Setup!C6</f>
        <v>6</v>
      </c>
      <c r="D3" s="1"/>
      <c r="E3" s="1" t="s">
        <v>30</v>
      </c>
      <c r="F3" s="18">
        <f>Setup!C7</f>
        <v>20</v>
      </c>
      <c r="G3" s="1"/>
      <c r="H3" s="12" t="s">
        <v>31</v>
      </c>
      <c r="I3" s="1"/>
      <c r="J3" s="1"/>
      <c r="K3" s="1"/>
    </row>
    <row r="4" spans="2:11" ht="24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 ht="48.95" customHeight="1">
      <c r="B5" s="4" t="s">
        <v>15</v>
      </c>
      <c r="C5" s="13" t="s">
        <v>20</v>
      </c>
      <c r="D5" s="13" t="s">
        <v>17</v>
      </c>
      <c r="E5" s="13" t="s">
        <v>32</v>
      </c>
      <c r="F5" s="13" t="s">
        <v>18</v>
      </c>
      <c r="G5" s="13" t="s">
        <v>19</v>
      </c>
      <c r="H5" s="13" t="s">
        <v>33</v>
      </c>
      <c r="I5" s="13" t="s">
        <v>34</v>
      </c>
      <c r="J5" s="13" t="s">
        <v>35</v>
      </c>
      <c r="K5" s="5" t="s">
        <v>21</v>
      </c>
    </row>
    <row r="6" spans="2:11" ht="27" customHeight="1">
      <c r="B6" s="1" t="str">
        <f>Ingredients!B6</f>
        <v>Spaghetti (dry)</v>
      </c>
      <c r="C6" s="20">
        <f>Ingredients!G6</f>
        <v>600</v>
      </c>
      <c r="D6" s="20">
        <f>Ingredients!D6</f>
        <v>100</v>
      </c>
      <c r="E6" s="20">
        <f>MAX(0,C6-D6)</f>
        <v>500</v>
      </c>
      <c r="F6" s="20">
        <f>Ingredients!E6</f>
        <v>500</v>
      </c>
      <c r="G6" s="21">
        <f>Ingredients!F6</f>
        <v>2.5</v>
      </c>
      <c r="H6" s="22">
        <f>ROUNDUP(E6/F6,0)</f>
        <v>1</v>
      </c>
      <c r="I6" s="21">
        <f>H6*G6</f>
        <v>2.5</v>
      </c>
      <c r="J6" s="20">
        <f>D6+H6*F6-C6</f>
        <v>0</v>
      </c>
      <c r="K6" s="21">
        <f>Ingredients!H6</f>
        <v>3</v>
      </c>
    </row>
    <row r="7" spans="2:11" ht="27" customHeight="1">
      <c r="B7" s="1" t="str">
        <f>Ingredients!B7</f>
        <v>Guanciale</v>
      </c>
      <c r="C7" s="20">
        <f>Ingredients!G7</f>
        <v>240</v>
      </c>
      <c r="D7" s="20">
        <f>Ingredients!D7</f>
        <v>20</v>
      </c>
      <c r="E7" s="20">
        <f>MAX(0,C7-D7)</f>
        <v>220</v>
      </c>
      <c r="F7" s="20">
        <f>Ingredients!E7</f>
        <v>100</v>
      </c>
      <c r="G7" s="21">
        <f>Ingredients!F7</f>
        <v>4</v>
      </c>
      <c r="H7" s="22">
        <f>ROUNDUP(E7/F7,0)</f>
        <v>3</v>
      </c>
      <c r="I7" s="21">
        <f>H7*G7</f>
        <v>12</v>
      </c>
      <c r="J7" s="20">
        <f>D7+H7*F7-C7</f>
        <v>80</v>
      </c>
      <c r="K7" s="21">
        <f>Ingredients!H7</f>
        <v>9.6</v>
      </c>
    </row>
    <row r="8" spans="2:11" ht="27" customHeight="1">
      <c r="B8" s="1" t="str">
        <f>Ingredients!B8</f>
        <v>Egg yolks</v>
      </c>
      <c r="C8" s="20">
        <f>Ingredients!G8</f>
        <v>108</v>
      </c>
      <c r="D8" s="20">
        <f>Ingredients!D8</f>
        <v>0</v>
      </c>
      <c r="E8" s="20">
        <f>MAX(0,C8-D8)</f>
        <v>108</v>
      </c>
      <c r="F8" s="20">
        <f>Ingredients!E8</f>
        <v>36</v>
      </c>
      <c r="G8" s="21">
        <f>Ingredients!F8</f>
        <v>0.54</v>
      </c>
      <c r="H8" s="22">
        <f>ROUNDUP(E8/F8,0)</f>
        <v>3</v>
      </c>
      <c r="I8" s="21">
        <f>H8*G8</f>
        <v>1.62</v>
      </c>
      <c r="J8" s="20">
        <f>D8+H8*F8-C8</f>
        <v>0</v>
      </c>
      <c r="K8" s="21">
        <f>Ingredients!H8</f>
        <v>1.62</v>
      </c>
    </row>
    <row r="9" spans="2:11" ht="27" customHeight="1">
      <c r="B9" s="1" t="str">
        <f>Ingredients!B9</f>
        <v>Pecorino Romano</v>
      </c>
      <c r="C9" s="20">
        <f>Ingredients!G9</f>
        <v>120</v>
      </c>
      <c r="D9" s="20">
        <f>Ingredients!D9</f>
        <v>10</v>
      </c>
      <c r="E9" s="20">
        <f>MAX(0,C9-D9)</f>
        <v>110</v>
      </c>
      <c r="F9" s="20">
        <f>Ingredients!E9</f>
        <v>100</v>
      </c>
      <c r="G9" s="21">
        <f>Ingredients!F9</f>
        <v>3.5</v>
      </c>
      <c r="H9" s="22">
        <f>ROUNDUP(E9/F9,0)</f>
        <v>2</v>
      </c>
      <c r="I9" s="21">
        <f>H9*G9</f>
        <v>7</v>
      </c>
      <c r="J9" s="20">
        <f>D9+H9*F9-C9</f>
        <v>90</v>
      </c>
      <c r="K9" s="21">
        <f>Ingredients!H9</f>
        <v>4.2</v>
      </c>
    </row>
    <row r="10" spans="2:11" ht="27" customHeight="1">
      <c r="B10" s="1" t="str">
        <f>Ingredients!B10</f>
        <v>Black pepper</v>
      </c>
      <c r="C10" s="20">
        <f>Ingredients!G10</f>
        <v>3</v>
      </c>
      <c r="D10" s="20">
        <f>Ingredients!D10</f>
        <v>2</v>
      </c>
      <c r="E10" s="20">
        <f>MAX(0,C10-D10)</f>
        <v>1</v>
      </c>
      <c r="F10" s="20">
        <f>Ingredients!E10</f>
        <v>50</v>
      </c>
      <c r="G10" s="21">
        <f>Ingredients!F10</f>
        <v>2.5</v>
      </c>
      <c r="H10" s="22">
        <f>ROUNDUP(E10/F10,0)</f>
        <v>1</v>
      </c>
      <c r="I10" s="21">
        <f>H10*G10</f>
        <v>2.5</v>
      </c>
      <c r="J10" s="20">
        <f>D10+H10*F10-C10</f>
        <v>49</v>
      </c>
      <c r="K10" s="21">
        <f>Ingredients!H10</f>
        <v>0.15</v>
      </c>
    </row>
    <row r="11" spans="2:11" ht="24" customHeight="1">
      <c r="B11" s="1"/>
      <c r="C11" s="19"/>
      <c r="D11" s="19"/>
      <c r="E11" s="19"/>
      <c r="F11" s="19"/>
      <c r="G11" s="19"/>
      <c r="H11" s="19"/>
      <c r="I11" s="21"/>
      <c r="J11" s="19"/>
      <c r="K11" s="21"/>
    </row>
    <row r="12" spans="2:11" ht="24" customHeight="1">
      <c r="B12" s="25" t="s">
        <v>36</v>
      </c>
      <c r="C12" s="26"/>
      <c r="D12" s="26"/>
      <c r="E12" s="26"/>
      <c r="F12" s="26"/>
      <c r="G12" s="26"/>
      <c r="H12" s="26"/>
      <c r="I12" s="27">
        <f>SUM(I6:I10)</f>
        <v>25.62</v>
      </c>
      <c r="J12" s="26"/>
      <c r="K12" s="27">
        <f>SUM(K6:K10)</f>
        <v>18.569999999999997</v>
      </c>
    </row>
    <row r="13" spans="2:11" ht="24" customHeight="1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ht="24" customHeight="1">
      <c r="B14" s="12" t="s">
        <v>37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4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conditionalFormatting sqref="B6:K10">
    <cfRule type="expression" dxfId="5" priority="1">
      <formula>$H6&gt;0</formula>
    </cfRule>
  </conditionalFormatting>
  <conditionalFormatting sqref="H6:I10">
    <cfRule type="expression" dxfId="4" priority="2">
      <formula>$H6&gt;0</formula>
    </cfRule>
  </conditionalFormatting>
  <conditionalFormatting sqref="I12">
    <cfRule type="expression" dxfId="3" priority="3">
      <formula>I12&gt;$F$3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3E49"/>
  </sheetPr>
  <dimension ref="B2:J32"/>
  <sheetViews>
    <sheetView showGridLines="0" tabSelected="1" zoomScale="85" zoomScaleNormal="85" workbookViewId="0">
      <selection activeCell="B2" sqref="B2"/>
    </sheetView>
  </sheetViews>
  <sheetFormatPr defaultRowHeight="14.25"/>
  <cols>
    <col min="1" max="1" width="3" customWidth="1"/>
    <col min="2" max="2" width="32" customWidth="1"/>
    <col min="3" max="3" width="18" customWidth="1"/>
    <col min="4" max="4" width="3" customWidth="1"/>
    <col min="5" max="5" width="25" customWidth="1"/>
    <col min="6" max="7" width="17" customWidth="1"/>
    <col min="8" max="8" width="14" customWidth="1"/>
    <col min="9" max="10" width="7" customWidth="1"/>
  </cols>
  <sheetData>
    <row r="2" spans="2:10" ht="24" customHeight="1">
      <c r="B2" s="2" t="s">
        <v>38</v>
      </c>
      <c r="C2" s="3"/>
      <c r="D2" s="3"/>
      <c r="E2" s="3"/>
      <c r="F2" s="3"/>
      <c r="G2" s="3"/>
      <c r="H2" s="3"/>
      <c r="I2" s="3"/>
      <c r="J2" s="3"/>
    </row>
    <row r="3" spans="2:10" ht="24" customHeight="1">
      <c r="B3" s="1"/>
      <c r="C3" s="1"/>
      <c r="D3" s="1"/>
      <c r="E3" s="1"/>
      <c r="F3" s="1"/>
      <c r="G3" s="1"/>
      <c r="H3" s="1"/>
      <c r="I3" s="1"/>
      <c r="J3" s="1"/>
    </row>
    <row r="4" spans="2:10" ht="42" customHeight="1">
      <c r="B4" s="4" t="s">
        <v>39</v>
      </c>
      <c r="C4" s="5" t="s">
        <v>2</v>
      </c>
      <c r="D4" s="1"/>
      <c r="E4" s="4" t="s">
        <v>15</v>
      </c>
      <c r="F4" s="13" t="s">
        <v>34</v>
      </c>
      <c r="G4" s="13" t="s">
        <v>40</v>
      </c>
      <c r="H4" s="5" t="s">
        <v>41</v>
      </c>
      <c r="I4" s="1"/>
      <c r="J4" s="1"/>
    </row>
    <row r="5" spans="2:10" ht="27.95" customHeight="1">
      <c r="B5" s="1" t="s">
        <v>6</v>
      </c>
      <c r="C5" s="22">
        <f>Setup!C6</f>
        <v>6</v>
      </c>
      <c r="D5" s="1"/>
      <c r="E5" s="1" t="str">
        <f>ShoppingList!B6</f>
        <v>Spaghetti (dry)</v>
      </c>
      <c r="F5" s="21">
        <f>ShoppingList!I6</f>
        <v>2.5</v>
      </c>
      <c r="G5" s="21">
        <f>ShoppingList!K6</f>
        <v>3</v>
      </c>
      <c r="H5" s="28">
        <f>IF($C$6=0,0,G5/$C$6)</f>
        <v>0.16155088852988694</v>
      </c>
      <c r="I5" s="1"/>
      <c r="J5" s="1"/>
    </row>
    <row r="6" spans="2:10" ht="27.95" customHeight="1">
      <c r="B6" s="1" t="s">
        <v>42</v>
      </c>
      <c r="C6" s="21">
        <f>ShoppingList!K12</f>
        <v>18.569999999999997</v>
      </c>
      <c r="D6" s="1"/>
      <c r="E6" s="1" t="str">
        <f>ShoppingList!B7</f>
        <v>Guanciale</v>
      </c>
      <c r="F6" s="21">
        <f>ShoppingList!I7</f>
        <v>12</v>
      </c>
      <c r="G6" s="21">
        <f>ShoppingList!K7</f>
        <v>9.6</v>
      </c>
      <c r="H6" s="28">
        <f>IF($C$6=0,0,G6/$C$6)</f>
        <v>0.51696284329563824</v>
      </c>
      <c r="I6" s="1"/>
      <c r="J6" s="1"/>
    </row>
    <row r="7" spans="2:10" ht="27.95" customHeight="1">
      <c r="B7" s="1" t="s">
        <v>43</v>
      </c>
      <c r="C7" s="21">
        <f>C6/C5</f>
        <v>3.0949999999999993</v>
      </c>
      <c r="D7" s="1"/>
      <c r="E7" s="1" t="str">
        <f>ShoppingList!B8</f>
        <v>Egg yolks</v>
      </c>
      <c r="F7" s="21">
        <f>ShoppingList!I8</f>
        <v>1.62</v>
      </c>
      <c r="G7" s="21">
        <f>ShoppingList!K8</f>
        <v>1.62</v>
      </c>
      <c r="H7" s="28">
        <f>IF($C$6=0,0,G7/$C$6)</f>
        <v>8.7237479806138954E-2</v>
      </c>
      <c r="I7" s="1"/>
      <c r="J7" s="1"/>
    </row>
    <row r="8" spans="2:10" ht="27.95" customHeight="1">
      <c r="B8" s="23" t="s">
        <v>44</v>
      </c>
      <c r="C8" s="24">
        <f>ShoppingList!I12</f>
        <v>25.62</v>
      </c>
      <c r="D8" s="1"/>
      <c r="E8" s="1" t="str">
        <f>ShoppingList!B9</f>
        <v>Pecorino Romano</v>
      </c>
      <c r="F8" s="21">
        <f>ShoppingList!I9</f>
        <v>7</v>
      </c>
      <c r="G8" s="21">
        <f>ShoppingList!K9</f>
        <v>4.2</v>
      </c>
      <c r="H8" s="28">
        <f>IF($C$6=0,0,G8/$C$6)</f>
        <v>0.22617124394184174</v>
      </c>
      <c r="I8" s="1"/>
      <c r="J8" s="1"/>
    </row>
    <row r="9" spans="2:10" ht="27.95" customHeight="1">
      <c r="B9" s="1" t="s">
        <v>45</v>
      </c>
      <c r="C9" s="21">
        <f>Setup!C7</f>
        <v>20</v>
      </c>
      <c r="D9" s="1"/>
      <c r="E9" s="1" t="str">
        <f>ShoppingList!B10</f>
        <v>Black pepper</v>
      </c>
      <c r="F9" s="21">
        <f>ShoppingList!I10</f>
        <v>2.5</v>
      </c>
      <c r="G9" s="21">
        <f>ShoppingList!K10</f>
        <v>0.15</v>
      </c>
      <c r="H9" s="28">
        <f>IF($C$6=0,0,G9/$C$6)</f>
        <v>8.0775444264943475E-3</v>
      </c>
      <c r="I9" s="1"/>
      <c r="J9" s="1"/>
    </row>
    <row r="10" spans="2:10" ht="27.95" customHeight="1">
      <c r="B10" s="1" t="s">
        <v>46</v>
      </c>
      <c r="C10" s="21">
        <f>C9-C8</f>
        <v>-5.620000000000001</v>
      </c>
      <c r="D10" s="1"/>
      <c r="E10" s="1"/>
      <c r="F10" s="1"/>
      <c r="G10" s="1"/>
      <c r="H10" s="1"/>
      <c r="I10" s="1"/>
      <c r="J10" s="1"/>
    </row>
    <row r="11" spans="2:10" ht="27.95" customHeight="1">
      <c r="B11" s="1" t="s">
        <v>47</v>
      </c>
      <c r="C11" s="19" t="str">
        <f>IF(C8&lt;=C9,"Within budget","Over budget")</f>
        <v>Over budget</v>
      </c>
      <c r="D11" s="1"/>
      <c r="E11" s="1"/>
      <c r="F11" s="1"/>
      <c r="G11" s="1"/>
      <c r="H11" s="1"/>
      <c r="I11" s="1"/>
      <c r="J11" s="1"/>
    </row>
    <row r="12" spans="2:10" ht="24" customHeight="1">
      <c r="B12" s="12" t="s">
        <v>48</v>
      </c>
      <c r="C12" s="1"/>
      <c r="D12" s="1"/>
      <c r="E12" s="1"/>
      <c r="F12" s="1"/>
      <c r="G12" s="1"/>
      <c r="H12" s="1"/>
      <c r="I12" s="1"/>
      <c r="J12" s="1"/>
    </row>
    <row r="13" spans="2:10" ht="24" customHeight="1">
      <c r="B13" s="1"/>
      <c r="C13" s="1"/>
      <c r="D13" s="1"/>
      <c r="E13" s="1"/>
      <c r="F13" s="1"/>
      <c r="G13" s="1"/>
      <c r="H13" s="1"/>
      <c r="I13" s="1"/>
      <c r="J13" s="1"/>
    </row>
    <row r="14" spans="2:10" ht="24" customHeight="1">
      <c r="B14" s="1"/>
      <c r="C14" s="1"/>
      <c r="D14" s="1"/>
      <c r="E14" s="1"/>
      <c r="F14" s="1"/>
      <c r="G14" s="1"/>
      <c r="H14" s="1"/>
      <c r="I14" s="1"/>
      <c r="J14" s="1"/>
    </row>
    <row r="15" spans="2:10" ht="24" customHeight="1">
      <c r="B15" s="1"/>
      <c r="C15" s="1"/>
      <c r="D15" s="1"/>
      <c r="E15" s="1"/>
      <c r="F15" s="1"/>
      <c r="G15" s="1"/>
      <c r="H15" s="1"/>
      <c r="I15" s="1"/>
      <c r="J15" s="1"/>
    </row>
    <row r="16" spans="2:10" ht="24" customHeight="1">
      <c r="B16" s="1"/>
      <c r="C16" s="1"/>
      <c r="D16" s="1"/>
      <c r="E16" s="1"/>
      <c r="F16" s="1"/>
      <c r="G16" s="1"/>
      <c r="H16" s="1"/>
      <c r="I16" s="1"/>
      <c r="J16" s="1"/>
    </row>
    <row r="17" spans="2:10" ht="24" customHeight="1">
      <c r="B17" s="1"/>
      <c r="C17" s="1"/>
      <c r="D17" s="1"/>
      <c r="E17" s="1"/>
      <c r="F17" s="1"/>
      <c r="G17" s="1"/>
      <c r="H17" s="1"/>
      <c r="I17" s="1"/>
      <c r="J17" s="1"/>
    </row>
    <row r="18" spans="2:10" ht="24" customHeight="1">
      <c r="B18" s="1"/>
      <c r="C18" s="1"/>
      <c r="D18" s="1"/>
      <c r="E18" s="1"/>
      <c r="F18" s="1"/>
      <c r="G18" s="1"/>
      <c r="H18" s="1"/>
      <c r="I18" s="1"/>
      <c r="J18" s="1"/>
    </row>
    <row r="19" spans="2:10" ht="24" customHeight="1">
      <c r="B19" s="1"/>
      <c r="C19" s="1"/>
      <c r="D19" s="1"/>
      <c r="E19" s="1"/>
      <c r="F19" s="1"/>
      <c r="G19" s="1"/>
      <c r="H19" s="1"/>
      <c r="I19" s="1"/>
      <c r="J19" s="1"/>
    </row>
    <row r="20" spans="2:10" ht="24" customHeight="1">
      <c r="B20" s="1"/>
      <c r="C20" s="1"/>
      <c r="D20" s="1"/>
      <c r="E20" s="1"/>
      <c r="F20" s="1"/>
      <c r="G20" s="1"/>
      <c r="H20" s="1"/>
      <c r="I20" s="1"/>
      <c r="J20" s="1"/>
    </row>
    <row r="21" spans="2:10" ht="24" customHeight="1">
      <c r="B21" s="1"/>
      <c r="C21" s="1"/>
      <c r="D21" s="1"/>
      <c r="E21" s="1"/>
      <c r="F21" s="1"/>
      <c r="G21" s="1"/>
      <c r="H21" s="1"/>
      <c r="I21" s="1"/>
      <c r="J21" s="1"/>
    </row>
    <row r="22" spans="2:10" ht="24" customHeight="1">
      <c r="B22" s="1"/>
      <c r="C22" s="1"/>
      <c r="D22" s="1"/>
      <c r="E22" s="1"/>
      <c r="F22" s="1"/>
      <c r="G22" s="1"/>
      <c r="H22" s="1"/>
      <c r="I22" s="1"/>
      <c r="J22" s="1"/>
    </row>
    <row r="23" spans="2:10" ht="24" customHeight="1">
      <c r="B23" s="1"/>
      <c r="C23" s="1"/>
      <c r="D23" s="1"/>
      <c r="E23" s="1"/>
      <c r="F23" s="1"/>
      <c r="G23" s="1"/>
      <c r="H23" s="1"/>
      <c r="I23" s="1"/>
      <c r="J23" s="1"/>
    </row>
    <row r="24" spans="2:10" ht="24" customHeight="1">
      <c r="B24" s="1"/>
      <c r="C24" s="1"/>
      <c r="D24" s="1"/>
      <c r="E24" s="1"/>
      <c r="F24" s="1"/>
      <c r="G24" s="1"/>
      <c r="H24" s="1"/>
      <c r="I24" s="1"/>
      <c r="J24" s="1"/>
    </row>
    <row r="25" spans="2:10" ht="24" customHeight="1">
      <c r="B25" s="1"/>
      <c r="C25" s="1"/>
      <c r="D25" s="1"/>
      <c r="E25" s="1"/>
      <c r="F25" s="1"/>
      <c r="G25" s="1"/>
      <c r="H25" s="1"/>
      <c r="I25" s="1"/>
      <c r="J25" s="1"/>
    </row>
    <row r="26" spans="2:10" ht="24" customHeight="1">
      <c r="B26" s="1"/>
      <c r="C26" s="1"/>
      <c r="D26" s="1"/>
      <c r="E26" s="1"/>
      <c r="F26" s="1"/>
      <c r="G26" s="1"/>
      <c r="H26" s="1"/>
      <c r="I26" s="1"/>
      <c r="J26" s="1"/>
    </row>
    <row r="27" spans="2:10" ht="24" customHeight="1">
      <c r="B27" s="1"/>
      <c r="C27" s="1"/>
      <c r="D27" s="1"/>
      <c r="E27" s="1"/>
      <c r="F27" s="1"/>
      <c r="G27" s="1"/>
      <c r="H27" s="1"/>
      <c r="I27" s="1"/>
      <c r="J27" s="1"/>
    </row>
    <row r="28" spans="2:10" ht="24" customHeight="1">
      <c r="B28" s="1"/>
      <c r="C28" s="1"/>
      <c r="D28" s="1"/>
      <c r="E28" s="1"/>
      <c r="F28" s="1"/>
      <c r="G28" s="1"/>
      <c r="H28" s="1"/>
      <c r="I28" s="1"/>
      <c r="J28" s="1"/>
    </row>
    <row r="29" spans="2:10" ht="24" customHeight="1">
      <c r="B29" s="1"/>
      <c r="C29" s="1"/>
      <c r="D29" s="1"/>
      <c r="E29" s="1"/>
      <c r="F29" s="1"/>
      <c r="G29" s="1"/>
      <c r="H29" s="1"/>
      <c r="I29" s="1"/>
      <c r="J29" s="1"/>
    </row>
    <row r="30" spans="2:10" ht="24" customHeight="1">
      <c r="B30" s="1"/>
      <c r="C30" s="1"/>
      <c r="D30" s="1"/>
      <c r="E30" s="1"/>
      <c r="F30" s="1"/>
      <c r="G30" s="1"/>
      <c r="H30" s="1"/>
      <c r="I30" s="1"/>
      <c r="J30" s="1"/>
    </row>
    <row r="31" spans="2:10" ht="24" customHeight="1">
      <c r="B31" s="1"/>
      <c r="C31" s="1"/>
      <c r="D31" s="1"/>
      <c r="E31" s="1"/>
      <c r="F31" s="1"/>
      <c r="G31" s="1"/>
      <c r="H31" s="1"/>
      <c r="I31" s="1"/>
      <c r="J31" s="1"/>
    </row>
    <row r="32" spans="2:10" ht="24" customHeight="1">
      <c r="B32" s="1"/>
      <c r="C32" s="1"/>
      <c r="D32" s="1"/>
      <c r="E32" s="1"/>
      <c r="F32" s="1"/>
      <c r="G32" s="1"/>
      <c r="H32" s="1"/>
      <c r="I32" s="1"/>
      <c r="J32" s="1"/>
    </row>
  </sheetData>
  <conditionalFormatting sqref="C8">
    <cfRule type="expression" dxfId="2" priority="1">
      <formula>$C$8&gt;$C$9</formula>
    </cfRule>
  </conditionalFormatting>
  <conditionalFormatting sqref="C10:C11">
    <cfRule type="expression" dxfId="1" priority="2">
      <formula>$C$8&gt;$C$9</formula>
    </cfRule>
  </conditionalFormatting>
  <conditionalFormatting sqref="E5:H9">
    <cfRule type="expression" dxfId="0" priority="3">
      <formula>$F5&gt;0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2026-10-03T08:22:33Z</dcterms:modified>
</cp:coreProperties>
</file>