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2e5618fe7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ffee58d3100644f6"/>
    <x:sheet xmlns:r="http://schemas.openxmlformats.org/officeDocument/2006/relationships" name="Ingredients" sheetId="2" r:id="R279cc94ef2a7487f"/>
    <x:sheet xmlns:r="http://schemas.openxmlformats.org/officeDocument/2006/relationships" name="ShoppingList" sheetId="3" r:id="Rdf773d58753d44b6"/>
    <x:sheet xmlns:r="http://schemas.openxmlformats.org/officeDocument/2006/relationships" name="Dashboard" sheetId="4" r:id="Rf94db9b2e7b4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$&quot;#,##0.00;[Red](&quot;$&quot;#,##0.00);&quot;$&quot;0.00"/>
    <x:numFmt numFmtId="202" formatCode="0.0"/>
  </x:numFmts>
  <x:fonts count="5">
    <x:font>
      <x:sz val="11"/>
      <x:name val="Carlito"/>
    </x:font>
    <x:font>
      <x:sz val="11"/>
      <x:color rgb="FF253344"/>
      <x:name val="Arial"/>
    </x:font>
    <x:font>
      <x:b/>
      <x:sz val="16"/>
      <x:color rgb="FF243B53"/>
      <x:name val="Arial"/>
    </x:font>
    <x:font>
      <x:b/>
      <x:sz val="11"/>
      <x:color rgb="FFFFFFFF"/>
      <x:name val="Arial"/>
    </x:font>
    <x:font>
      <x:b/>
      <x:sz val="11"/>
      <x:color rgb="FF25334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0BF"/>
      </x:patternFill>
    </x:fill>
  </x:fills>
  <x:borders count="2">
    <x:border/>
    <x:border>
      <x:bottom style="thin">
        <x:color rgb="FFB7C5D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3" borderId="0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E3EFF7"/>
        </x:patternFill>
      </x:fill>
    </x:dxf>
    <x:dxf>
      <x:font>
        <x:b/>
        <x:color rgb="FFA52823"/>
      </x:font>
      <x:fill>
        <x:patternFill patternType="solid">
          <x:bgColor rgb="FFFCE1DE"/>
        </x:patternFill>
      </x:fill>
    </x:dxf>
    <x:dxf>
      <x:font>
        <x:b/>
        <x:color rgb="FFA52823"/>
      </x:font>
      <x:fill>
        <x:patternFill patternType="solid">
          <x:bgColor rgb="FFFCE1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d441dc3b04ec8" /><Relationship Type="http://schemas.openxmlformats.org/officeDocument/2006/relationships/theme" Target="/xl/theme/theme1.xml" Id="R1f102050718749af" /><Relationship Type="http://schemas.openxmlformats.org/officeDocument/2006/relationships/sharedStrings" Target="/xl/sharedStrings.xml" Id="R3337a439f6084d36" /><Relationship Type="http://schemas.openxmlformats.org/officeDocument/2006/relationships/worksheet" Target="/xl/worksheets/sheet1.xml" Id="Rffee58d3100644f6" /><Relationship Type="http://schemas.openxmlformats.org/officeDocument/2006/relationships/worksheet" Target="/xl/worksheets/sheet2.xml" Id="R279cc94ef2a7487f" /><Relationship Type="http://schemas.openxmlformats.org/officeDocument/2006/relationships/worksheet" Target="/xl/worksheets/sheet3.xml" Id="Rdf773d58753d44b6" /><Relationship Type="http://schemas.openxmlformats.org/officeDocument/2006/relationships/worksheet" Target="/xl/worksheets/sheet4.xml" Id="Rf94db9b2e7b44a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e3ee4428a24bb7" /><Relationship Type="http://schemas.openxmlformats.org/officeDocument/2006/relationships/chart" Target="/xl/drawings/charts/chart2.xml" Id="Re6d73e40e3c24c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486581"/>
            </a:solidFill>
          </c:spPr>
          <c:cat>
            <c:strRef>
              <c:f>'ShoppingList'!$A$8:$A$12</c:f>
              <c:strCache>
                <c:ptCount val="0"/>
              </c:strCache>
            </c:strRef>
          </c:cat>
          <c:val>
            <c:numRef>
              <c:f>'ShoppingList'!$H$8:$H$12</c:f>
              <c:numCache>
                <c:formatCode>"$"#,##0.00;[Red]("$"#,##0.00);"$"0.00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Used-ingredient cost (USD)</c:v>
          </c:tx>
          <c:cat>
            <c:strRef>
              <c:f>'Ingredients'!$A$8:$A$12</c:f>
              <c:strCache>
                <c:ptCount val="0"/>
              </c:strCache>
            </c:strRef>
          </c:cat>
          <c:val>
            <c:numRef>
              <c:f>'Ingredients'!$G$8:$G$12</c:f>
              <c:numCache>
                <c:formatCode>"$"#,##0.00;[Red]("$"#,##0.00);"$"0.00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e3ee4428a24bb7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d73e40e3c24cf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rbonaraIngredients" displayName="CarbonaraIngredients" ref="A7:G12" headerRowCount="1" totalsRowCount="0" totalsRowShown="0">
  <x:autoFilter ref="A7:G12"/>
  <x:tableColumns count="7">
    <x:tableColumn id="1" name="Ingredient"/>
    <x:tableColumn id="2" name="Base quantity for 2 servings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8cadbee3b64c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55cccddea484d72" /></Relationships>
</file>

<file path=xl/worksheets/sheet1.xml><?xml version="1.0" encoding="utf-8"?>
<x:worksheet xmlns:x="http://schemas.openxmlformats.org/spreadsheetml/2006/main">
  <x:sheetPr>
    <x:tabColor rgb="FF829AB1"/>
  </x:sheetPr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meal setup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/>
      <x:c r="B3" s="3"/>
      <x:c r="C3" s="3"/>
      <x:c r="D3" s="3"/>
      <x:c r="E3" s="1"/>
      <x:c r="F3" s="1"/>
      <x:c r="G3" s="1"/>
      <x:c r="H3" s="1"/>
      <x:c r="I3" s="1"/>
      <x:c r="J3" s="1"/>
      <x:c r="K3" s="1"/>
      <x:c r="L3" s="1"/>
    </x:row>
    <x:row r="4" ht="44" customHeight="1">
      <x:c r="A4" s="8" t="str">
        <x:v>Setting</x:v>
      </x:c>
      <x:c r="B4" s="8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Base recipe servings</x:v>
      </x:c>
      <x:c r="B5" s="9" t="n">
        <x:v>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Desired servings</x:v>
      </x:c>
      <x:c r="B6" s="11" t="n">
        <x:v>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Shopping budget (USD)</x:v>
      </x:c>
      <x:c r="B7" s="12" t="n">
        <x:v>20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Amber cells are editable inputs.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 t="str">
        <x:v>Change servings and budget here; edit quantities, stock and prices in Ingredients.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dataValidations count="2">
    <x:dataValidation showErrorMessage="1" errorStyle="stop" allowBlank="0" type="whole" operator="between" sqref="B6">
      <x:formula1>1</x:formula1>
      <x:formula2>20</x:formula2>
    </x:dataValidation>
    <x:dataValidation showErrorMessage="1" errorStyle="stop" allowBlank="0" type="decimal" operator="greaterThanOrEqual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ingredients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/>
      <x:c r="B3" s="3"/>
      <x:c r="C3" s="3"/>
      <x:c r="D3" s="3"/>
      <x:c r="E3" s="3"/>
      <x:c r="F3" s="3"/>
      <x:c r="G3" s="3"/>
      <x:c r="H3" s="1"/>
      <x:c r="I3" s="1"/>
      <x:c r="J3" s="1"/>
      <x:c r="K3" s="1"/>
      <x:c r="L3" s="1"/>
    </x:row>
    <x:row r="4" ht="23" customHeight="1">
      <x:c r="A4" s="1" t="str">
        <x:v>Source: user-provided illustrative data. All quantities are grams.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Egg yolks exclude shells and egg whites. Amber cells are editable.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44" customHeight="1">
      <x:c r="A7" s="8" t="str">
        <x:v>Ingredient</x:v>
      </x:c>
      <x:c r="B7" s="8" t="str">
        <x:v>Base quantity for 2 servings (g)</x:v>
      </x:c>
      <x:c r="C7" s="8" t="str">
        <x:v>Stock available (g)</x:v>
      </x:c>
      <x:c r="D7" s="8" t="str">
        <x:v>Package size (g)</x:v>
      </x:c>
      <x:c r="E7" s="8" t="str">
        <x:v>Package price (USD)</x:v>
      </x:c>
      <x:c r="F7" s="8" t="str">
        <x:v>Required quantity (g)</x:v>
      </x:c>
      <x:c r="G7" s="8" t="str">
        <x:v>Used-ingredient cost (USD)</x:v>
      </x:c>
      <x:c r="H7" s="1"/>
      <x:c r="I7" s="1"/>
      <x:c r="J7" s="1"/>
      <x:c r="K7" s="1"/>
      <x:c r="L7" s="1"/>
    </x:row>
    <x:row r="8" ht="23" customHeight="1">
      <x:c r="A8" s="1" t="str">
        <x:v>Spaghetti (dry)</x:v>
      </x:c>
      <x:c r="B8" s="14" t="n">
        <x:v>200</x:v>
      </x:c>
      <x:c r="C8" s="14" t="n">
        <x:v>100</x:v>
      </x:c>
      <x:c r="D8" s="14" t="n">
        <x:v>500</x:v>
      </x:c>
      <x:c r="E8" s="12" t="n">
        <x:v>2.5</x:v>
      </x:c>
      <x:c r="F8" s="15" t="n">
        <x:f>B8*Setup!$B$6/Setup!$B$5</x:f>
        <x:v>600</x:v>
      </x:c>
      <x:c r="G8" s="10" t="n">
        <x:f>F8/D8*E8</x:f>
        <x:v>3</x:v>
      </x:c>
      <x:c r="H8" s="1"/>
      <x:c r="I8" s="1"/>
      <x:c r="J8" s="1"/>
      <x:c r="K8" s="1"/>
      <x:c r="L8" s="1"/>
    </x:row>
    <x:row r="9" ht="23" customHeight="1">
      <x:c r="A9" s="1" t="str">
        <x:v>Guanciale</x:v>
      </x:c>
      <x:c r="B9" s="14" t="n">
        <x:v>80</x:v>
      </x:c>
      <x:c r="C9" s="14" t="n">
        <x:v>20</x:v>
      </x:c>
      <x:c r="D9" s="14" t="n">
        <x:v>100</x:v>
      </x:c>
      <x:c r="E9" s="12" t="n">
        <x:v>4</x:v>
      </x:c>
      <x:c r="F9" s="15" t="n">
        <x:f>B9*Setup!$B$6/Setup!$B$5</x:f>
        <x:v>240</x:v>
      </x:c>
      <x:c r="G9" s="10" t="n">
        <x:f>F9/D9*E9</x:f>
        <x:v>9.6</x:v>
      </x:c>
      <x:c r="H9" s="1"/>
      <x:c r="I9" s="1"/>
      <x:c r="J9" s="1"/>
      <x:c r="K9" s="1"/>
      <x:c r="L9" s="1"/>
    </x:row>
    <x:row r="10" ht="23" customHeight="1">
      <x:c r="A10" s="1" t="str">
        <x:v>Egg yolks</x:v>
      </x:c>
      <x:c r="B10" s="14" t="n">
        <x:v>36</x:v>
      </x:c>
      <x:c r="C10" s="14" t="n">
        <x:v>0</x:v>
      </x:c>
      <x:c r="D10" s="14" t="n">
        <x:v>36</x:v>
      </x:c>
      <x:c r="E10" s="12" t="n">
        <x:v>0.54</x:v>
      </x:c>
      <x:c r="F10" s="15" t="n">
        <x:f>B10*Setup!$B$6/Setup!$B$5</x:f>
        <x:v>108</x:v>
      </x:c>
      <x:c r="G10" s="10" t="n">
        <x:f>F10/D10*E10</x:f>
        <x:v>1.62</x:v>
      </x:c>
      <x:c r="H10" s="1"/>
      <x:c r="I10" s="1"/>
      <x:c r="J10" s="1"/>
      <x:c r="K10" s="1"/>
      <x:c r="L10" s="1"/>
    </x:row>
    <x:row r="11" ht="23" customHeight="1">
      <x:c r="A11" s="1" t="str">
        <x:v>Pecorino Romano</x:v>
      </x:c>
      <x:c r="B11" s="14" t="n">
        <x:v>40</x:v>
      </x:c>
      <x:c r="C11" s="14" t="n">
        <x:v>10</x:v>
      </x:c>
      <x:c r="D11" s="14" t="n">
        <x:v>100</x:v>
      </x:c>
      <x:c r="E11" s="12" t="n">
        <x:v>3.5</x:v>
      </x:c>
      <x:c r="F11" s="15" t="n">
        <x:f>B11*Setup!$B$6/Setup!$B$5</x:f>
        <x:v>120</x:v>
      </x:c>
      <x:c r="G11" s="10" t="n">
        <x:f>F11/D11*E11</x:f>
        <x:v>4.2</x:v>
      </x:c>
      <x:c r="H11" s="1"/>
      <x:c r="I11" s="1"/>
      <x:c r="J11" s="1"/>
      <x:c r="K11" s="1"/>
      <x:c r="L11" s="1"/>
    </x:row>
    <x:row r="12" ht="23" customHeight="1">
      <x:c r="A12" s="1" t="str">
        <x:v>Black pepper</x:v>
      </x:c>
      <x:c r="B12" s="14" t="n">
        <x:v>1</x:v>
      </x:c>
      <x:c r="C12" s="14" t="n">
        <x:v>2</x:v>
      </x:c>
      <x:c r="D12" s="14" t="n">
        <x:v>50</x:v>
      </x:c>
      <x:c r="E12" s="12" t="n">
        <x:v>2.5</x:v>
      </x:c>
      <x:c r="F12" s="15" t="n">
        <x:f>B12*Setup!$B$6/Setup!$B$5</x:f>
        <x:v>3</x:v>
      </x:c>
      <x:c r="G12" s="10" t="n">
        <x:f>F12/D12*E12</x:f>
        <x:v>0.15</x:v>
      </x:c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pageMargins left="0.7" right="0.7" top="0.75" bottom="0.75" header="0.3" footer="0.3"/>
  <x:tableParts count="1">
    <x:tablePart xmlns:r="http://schemas.openxmlformats.org/officeDocument/2006/relationships" r:id="Rc48cadbee3b64c1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6" hidden="0" customWidth="1"/>
    <x:col min="12" max="12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shopping 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1"/>
      <x:c r="L3" s="1"/>
    </x:row>
    <x:row r="4" ht="23" customHeight="1">
      <x:c r="A4" s="1" t="str">
        <x:v>Desired servings</x:v>
      </x:c>
      <x:c r="B4" s="1" t="n">
        <x:f>Setup!B6</x:f>
        <x:v>6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44" customHeight="1">
      <x:c r="A7" s="8" t="str">
        <x:v>Ingredient</x:v>
      </x:c>
      <x:c r="B7" s="8" t="str">
        <x:v>Required (g)</x:v>
      </x:c>
      <x:c r="C7" s="8" t="str">
        <x:v>Stock (g)</x:v>
      </x:c>
      <x:c r="D7" s="8" t="str">
        <x:v>Additional needed (g)</x:v>
      </x:c>
      <x:c r="E7" s="8" t="str">
        <x:v>Package size (g)</x:v>
      </x:c>
      <x:c r="F7" s="8" t="str">
        <x:v>Package price (USD)</x:v>
      </x:c>
      <x:c r="G7" s="8" t="str">
        <x:v>Packages to buy</x:v>
      </x:c>
      <x:c r="H7" s="8" t="str">
        <x:v>Purchase cost (USD)</x:v>
      </x:c>
      <x:c r="I7" s="8" t="str">
        <x:v>Stock after cooking (g)</x:v>
      </x:c>
      <x:c r="J7" s="8" t="str">
        <x:v>Used-ingredient cost (USD)</x:v>
      </x:c>
      <x:c r="K7" s="1"/>
      <x:c r="L7" s="1"/>
    </x:row>
    <x:row r="8" ht="23" customHeight="1">
      <x:c r="A8" s="1" t="str">
        <x:f>Ingredients!A8</x:f>
        <x:v>Spaghetti (dry)</x:v>
      </x:c>
      <x:c r="B8" s="15" t="n">
        <x:f>Ingredients!F8</x:f>
        <x:v>600</x:v>
      </x:c>
      <x:c r="C8" s="15" t="n">
        <x:f>Ingredients!C8</x:f>
        <x:v>100</x:v>
      </x:c>
      <x:c r="D8" s="15" t="n">
        <x:f>MAX(B8-C8,0)</x:f>
        <x:v>500</x:v>
      </x:c>
      <x:c r="E8" s="15" t="n">
        <x:f>Ingredients!D8</x:f>
        <x:v>500</x:v>
      </x:c>
      <x:c r="F8" s="10" t="n">
        <x:f>Ingredients!E8</x:f>
        <x:v>2.5</x:v>
      </x:c>
      <x:c r="G8" s="9" t="n">
        <x:f>ROUNDUP(D8/E8,0)</x:f>
        <x:v>1</x:v>
      </x:c>
      <x:c r="H8" s="10" t="n">
        <x:f>G8*F8</x:f>
        <x:v>2.5</x:v>
      </x:c>
      <x:c r="I8" s="15" t="n">
        <x:f>C8+G8*E8-B8</x:f>
        <x:v>0</x:v>
      </x:c>
      <x:c r="J8" s="10" t="n">
        <x:f>Ingredients!G8</x:f>
        <x:v>3</x:v>
      </x:c>
      <x:c r="K8" s="1"/>
      <x:c r="L8" s="1"/>
    </x:row>
    <x:row r="9" ht="23" customHeight="1">
      <x:c r="A9" s="1" t="str">
        <x:f>Ingredients!A9</x:f>
        <x:v>Guanciale</x:v>
      </x:c>
      <x:c r="B9" s="15" t="n">
        <x:f>Ingredients!F9</x:f>
        <x:v>240</x:v>
      </x:c>
      <x:c r="C9" s="15" t="n">
        <x:f>Ingredients!C9</x:f>
        <x:v>20</x:v>
      </x:c>
      <x:c r="D9" s="15" t="n">
        <x:f>MAX(B9-C9,0)</x:f>
        <x:v>220</x:v>
      </x:c>
      <x:c r="E9" s="15" t="n">
        <x:f>Ingredients!D9</x:f>
        <x:v>100</x:v>
      </x:c>
      <x:c r="F9" s="10" t="n">
        <x:f>Ingredients!E9</x:f>
        <x:v>4</x:v>
      </x:c>
      <x:c r="G9" s="9" t="n">
        <x:f>ROUNDUP(D9/E9,0)</x:f>
        <x:v>3</x:v>
      </x:c>
      <x:c r="H9" s="10" t="n">
        <x:f>G9*F9</x:f>
        <x:v>12</x:v>
      </x:c>
      <x:c r="I9" s="15" t="n">
        <x:f>C9+G9*E9-B9</x:f>
        <x:v>80</x:v>
      </x:c>
      <x:c r="J9" s="10" t="n">
        <x:f>Ingredients!G9</x:f>
        <x:v>9.6</x:v>
      </x:c>
      <x:c r="K9" s="1"/>
      <x:c r="L9" s="1"/>
    </x:row>
    <x:row r="10" ht="23" customHeight="1">
      <x:c r="A10" s="1" t="str">
        <x:f>Ingredients!A10</x:f>
        <x:v>Egg yolks</x:v>
      </x:c>
      <x:c r="B10" s="15" t="n">
        <x:f>Ingredients!F10</x:f>
        <x:v>108</x:v>
      </x:c>
      <x:c r="C10" s="15" t="n">
        <x:f>Ingredients!C10</x:f>
        <x:v>0</x:v>
      </x:c>
      <x:c r="D10" s="15" t="n">
        <x:f>MAX(B10-C10,0)</x:f>
        <x:v>108</x:v>
      </x:c>
      <x:c r="E10" s="15" t="n">
        <x:f>Ingredients!D10</x:f>
        <x:v>36</x:v>
      </x:c>
      <x:c r="F10" s="10" t="n">
        <x:f>Ingredients!E10</x:f>
        <x:v>0.54</x:v>
      </x:c>
      <x:c r="G10" s="9" t="n">
        <x:f>ROUNDUP(D10/E10,0)</x:f>
        <x:v>3</x:v>
      </x:c>
      <x:c r="H10" s="10" t="n">
        <x:f>G10*F10</x:f>
        <x:v>1.62</x:v>
      </x:c>
      <x:c r="I10" s="15" t="n">
        <x:f>C10+G10*E10-B10</x:f>
        <x:v>0</x:v>
      </x:c>
      <x:c r="J10" s="10" t="n">
        <x:f>Ingredients!G10</x:f>
        <x:v>1.62</x:v>
      </x:c>
      <x:c r="K10" s="1"/>
      <x:c r="L10" s="1"/>
    </x:row>
    <x:row r="11" ht="23" customHeight="1">
      <x:c r="A11" s="1" t="str">
        <x:f>Ingredients!A11</x:f>
        <x:v>Pecorino Romano</x:v>
      </x:c>
      <x:c r="B11" s="15" t="n">
        <x:f>Ingredients!F11</x:f>
        <x:v>120</x:v>
      </x:c>
      <x:c r="C11" s="15" t="n">
        <x:f>Ingredients!C11</x:f>
        <x:v>10</x:v>
      </x:c>
      <x:c r="D11" s="15" t="n">
        <x:f>MAX(B11-C11,0)</x:f>
        <x:v>110</x:v>
      </x:c>
      <x:c r="E11" s="15" t="n">
        <x:f>Ingredients!D11</x:f>
        <x:v>100</x:v>
      </x:c>
      <x:c r="F11" s="10" t="n">
        <x:f>Ingredients!E11</x:f>
        <x:v>3.5</x:v>
      </x:c>
      <x:c r="G11" s="9" t="n">
        <x:f>ROUNDUP(D11/E11,0)</x:f>
        <x:v>2</x:v>
      </x:c>
      <x:c r="H11" s="10" t="n">
        <x:f>G11*F11</x:f>
        <x:v>7</x:v>
      </x:c>
      <x:c r="I11" s="15" t="n">
        <x:f>C11+G11*E11-B11</x:f>
        <x:v>90</x:v>
      </x:c>
      <x:c r="J11" s="10" t="n">
        <x:f>Ingredients!G11</x:f>
        <x:v>4.2</x:v>
      </x:c>
      <x:c r="K11" s="1"/>
      <x:c r="L11" s="1"/>
    </x:row>
    <x:row r="12" ht="23" customHeight="1">
      <x:c r="A12" s="1" t="str">
        <x:f>Ingredients!A12</x:f>
        <x:v>Black pepper</x:v>
      </x:c>
      <x:c r="B12" s="15" t="n">
        <x:f>Ingredients!F12</x:f>
        <x:v>3</x:v>
      </x:c>
      <x:c r="C12" s="15" t="n">
        <x:f>Ingredients!C12</x:f>
        <x:v>2</x:v>
      </x:c>
      <x:c r="D12" s="15" t="n">
        <x:f>MAX(B12-C12,0)</x:f>
        <x:v>1</x:v>
      </x:c>
      <x:c r="E12" s="15" t="n">
        <x:f>Ingredients!D12</x:f>
        <x:v>50</x:v>
      </x:c>
      <x:c r="F12" s="10" t="n">
        <x:f>Ingredients!E12</x:f>
        <x:v>2.5</x:v>
      </x:c>
      <x:c r="G12" s="9" t="n">
        <x:f>ROUNDUP(D12/E12,0)</x:f>
        <x:v>1</x:v>
      </x:c>
      <x:c r="H12" s="10" t="n">
        <x:f>G12*F12</x:f>
        <x:v>2.5</x:v>
      </x:c>
      <x:c r="I12" s="15" t="n">
        <x:f>C12+G12*E12-B12</x:f>
        <x:v>49</x:v>
      </x:c>
      <x:c r="J12" s="10" t="n">
        <x:f>Ingredients!G12</x:f>
        <x:v>0.15</x:v>
      </x:c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0"/>
      <x:c r="I13" s="1"/>
      <x:c r="J13" s="10"/>
      <x:c r="K13" s="1"/>
      <x:c r="L13" s="1"/>
    </x:row>
    <x:row r="14" ht="23" customHeight="1">
      <x:c r="A14" s="16" t="str">
        <x:v>Totals</x:v>
      </x:c>
      <x:c r="B14" s="16"/>
      <x:c r="C14" s="16"/>
      <x:c r="D14" s="16"/>
      <x:c r="E14" s="16"/>
      <x:c r="F14" s="16"/>
      <x:c r="G14" s="16"/>
      <x:c r="H14" s="17" t="n">
        <x:f>SUM(H8:H12)</x:f>
        <x:v>25.62</x:v>
      </x:c>
      <x:c r="I14" s="16"/>
      <x:c r="J14" s="17" t="n">
        <x:f>SUM(J8:J12)</x:f>
        <x:v>18.569999999999997</x:v>
      </x:c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A8:J12">
    <x:cfRule type="expression" dxfId="0" priority="1">
      <x:formula>$G8&gt;0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cost dashboard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1"/>
      <x:c r="L3" s="1"/>
    </x:row>
    <x:row r="4" ht="44" customHeight="1">
      <x:c r="A4" s="8" t="str">
        <x:v>Meal summary</x:v>
      </x:c>
      <x:c r="B4" s="8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Desired servings</x:v>
      </x:c>
      <x:c r="B5" s="9" t="n">
        <x:f>Setup!B6</x:f>
        <x:v>6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Used-ingredient cost</x:v>
      </x:c>
      <x:c r="B6" s="10" t="n">
        <x:f>ShoppingList!J14</x:f>
        <x:v>18.569999999999997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Used cost per serving</x:v>
      </x:c>
      <x:c r="B7" s="10" t="n">
        <x:f>B6/B5</x:f>
        <x:v>3.0949999999999993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 t="str">
        <x:v>Total purchase cost</x:v>
      </x:c>
      <x:c r="B8" s="10" t="n">
        <x:f>ShoppingList!H14</x:f>
        <x:v>25.62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Budget</x:v>
      </x:c>
      <x:c r="B9" s="10" t="n">
        <x:f>Setup!B7</x:f>
        <x:v>20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Budget remaining</x:v>
      </x:c>
      <x:c r="B10" s="10" t="n">
        <x:f>B9-B8</x:f>
        <x:v>-5.620000000000001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 t="str">
        <x:v>Budget status</x:v>
      </x:c>
      <x:c r="B11" s="1" t="str">
        <x:f>IF(B8&lt;=B9,"Within budget","Over budget")</x:f>
        <x:v>Over budget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B8:B8">
    <x:cfRule type="expression" dxfId="1" priority="1">
      <x:formula>B8&gt;B9</x:formula>
    </x:cfRule>
  </x:conditionalFormatting>
  <x:conditionalFormatting sqref="B11:B11">
    <x:cfRule type="expression" dxfId="2" priority="2">
      <x:formula>B8&gt;B9</x:formula>
    </x:cfRule>
  </x:conditionalFormatting>
  <x:pageMargins left="0.7" right="0.7" top="0.75" bottom="0.75" header="0.3" footer="0.3"/>
  <x:drawing xmlns:r="http://schemas.openxmlformats.org/officeDocument/2006/relationships" r:id="R955cccddea484d72"/>
</x:worksheet>
</file>