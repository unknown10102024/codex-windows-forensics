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c32bd92b040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2882212bded1488a"/>
    <x:sheet xmlns:r="http://schemas.openxmlformats.org/officeDocument/2006/relationships" name="Ingredients" sheetId="2" r:id="R0618c237041d4011"/>
    <x:sheet xmlns:r="http://schemas.openxmlformats.org/officeDocument/2006/relationships" name="ShoppingList" sheetId="3" r:id="Rc067bd2c32dc4ed7"/>
    <x:sheet xmlns:r="http://schemas.openxmlformats.org/officeDocument/2006/relationships" name="Dashboard" sheetId="4" r:id="Rc2a7c32565e646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$&quot;#,##0.00"/>
    <x:numFmt numFmtId="202" formatCode="0.0"/>
  </x:numFmts>
  <x:fonts count="6">
    <x:font>
      <x:sz val="11"/>
      <x:name val="Carlito"/>
    </x:font>
    <x:font>
      <x:sz val="11"/>
      <x:color rgb="FF243447"/>
      <x:name val="Arial"/>
    </x:font>
    <x:font>
      <x:b/>
      <x:sz val="16"/>
      <x:color rgb="FF243447"/>
      <x:name val="Arial"/>
    </x:font>
    <x:font>
      <x:b/>
      <x:sz val="11"/>
      <x:color rgb="FFFFFFFF"/>
      <x:name val="Arial"/>
    </x:font>
    <x:font>
      <x:sz val="11"/>
      <x:color rgb="FF1756A9"/>
      <x:name val="Arial"/>
    </x:font>
    <x:font>
      <x:b/>
      <x:sz val="11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0" fontId="4" fillId="3" borderId="0" xfId="0" applyNumberFormat="1" applyFont="1" applyFill="1" applyBorder="1"/>
    <x:xf numFmtId="201" fontId="4" fillId="3" borderId="0" xfId="0" applyNumberFormat="1" applyFont="1" applyFill="1" applyBorder="1"/>
    <x:xf numFmtId="0" fontId="1" fillId="3" borderId="0" xfId="0" applyNumberFormat="1" applyFont="1" applyFill="1" applyBorder="1"/>
    <x:xf numFmtId="202" fontId="1" fillId="3" borderId="0" xfId="0" applyNumberFormat="1" applyFont="1" applyFill="1" applyBorder="1"/>
    <x:xf numFmtId="202" fontId="1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</x:cellXfs>
  <x:cellStyles count="1">
    <x:cellStyle name="Normal" xfId="0"/>
  </x:cellStyles>
  <x:dxfs count="4">
    <x:dxf>
      <x:font>
        <x:color rgb="FF245D39"/>
      </x:font>
      <x:fill>
        <x:patternFill patternType="solid">
          <x:bgColor rgb="FFE4F0E7"/>
        </x:patternFill>
      </x:fill>
    </x:dxf>
    <x:dxf>
      <x:font>
        <x:b/>
        <x:color rgb="FFA82424"/>
      </x:font>
      <x:fill>
        <x:patternFill patternType="solid">
          <x:bgColor rgb="FFFCE4E4"/>
        </x:patternFill>
      </x:fill>
    </x:dxf>
    <x:dxf>
      <x:font>
        <x:b/>
        <x:color rgb="FFA82424"/>
      </x:font>
      <x:fill>
        <x:patternFill patternType="solid">
          <x:bgColor rgb="FFFCE4E4"/>
        </x:patternFill>
      </x:fill>
    </x:dxf>
    <x:dxf>
      <x:font>
        <x:color rgb="FFA82424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222629dc5c4e8f" /><Relationship Type="http://schemas.openxmlformats.org/officeDocument/2006/relationships/theme" Target="/xl/theme/theme1.xml" Id="Ra7e51af16cf14c54" /><Relationship Type="http://schemas.openxmlformats.org/officeDocument/2006/relationships/sharedStrings" Target="/xl/sharedStrings.xml" Id="R9649d21f6b654f03" /><Relationship Type="http://schemas.openxmlformats.org/officeDocument/2006/relationships/worksheet" Target="/xl/worksheets/sheet1.xml" Id="R2882212bded1488a" /><Relationship Type="http://schemas.openxmlformats.org/officeDocument/2006/relationships/worksheet" Target="/xl/worksheets/sheet2.xml" Id="R0618c237041d4011" /><Relationship Type="http://schemas.openxmlformats.org/officeDocument/2006/relationships/worksheet" Target="/xl/worksheets/sheet3.xml" Id="Rc067bd2c32dc4ed7" /><Relationship Type="http://schemas.openxmlformats.org/officeDocument/2006/relationships/worksheet" Target="/xl/worksheets/sheet4.xml" Id="Rc2a7c32565e646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301a0be37004c48" /><Relationship Type="http://schemas.openxmlformats.org/officeDocument/2006/relationships/chart" Target="/xl/drawings/charts/chart2.xml" Id="Rce333721b7204f5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638A75"/>
            </a:solidFill>
          </c:spPr>
          <c:cat>
            <c:strRef>
              <c:f>'Dashboard'!$A$15:$A$19</c:f>
              <c:strCache>
                <c:ptCount val="0"/>
              </c:strCache>
            </c:strRef>
          </c:cat>
          <c:val>
            <c:numRef>
              <c:f>'Dashboard'!$B$15:$B$19</c:f>
              <c:numCache>
                <c:formatCode>"$"#,##0.00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 cost (USD)</c:v>
          </c:tx>
          <c:cat>
            <c:strRef>
              <c:f>'Dashboard'!$A$15:$A$19</c:f>
              <c:strCache>
                <c:ptCount val="0"/>
              </c:strCache>
            </c:strRef>
          </c:cat>
          <c:val>
            <c:numRef>
              <c:f>'Dashboard'!$C$15:$C$19</c:f>
              <c:numCache>
                <c:formatCode>"$"#,##0.00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01a0be37004c48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333721b7204f5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sTable" displayName="IngredientsTable" ref="A5:G10" headerRowCount="1" totalsRowCount="0" totalsRowShown="0">
  <x:autoFilter ref="A5:G10"/>
  <x:tableColumns count="7">
    <x:tableColumn id="1" name="Ingredient"/>
    <x:tableColumn id="2" name="Base quantity for 2 servings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33e485be6947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b8693cd16e14274" /></Relationships>
</file>

<file path=xl/worksheets/sheet1.xml><?xml version="1.0" encoding="utf-8"?>
<x:worksheet xmlns:x="http://schemas.openxmlformats.org/spreadsheetml/2006/main">
  <x:sheetPr>
    <x:tabColor rgb="FFD6A443"/>
  </x:sheetPr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meal setup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4" customHeight="1">
      <x:c r="A4" s="7" t="str">
        <x:v>Setting</x:v>
      </x:c>
      <x:c r="B4" s="7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Base recipe servings</x:v>
      </x:c>
      <x:c r="B5" s="8" t="n">
        <x:v>2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Desired servings</x:v>
      </x:c>
      <x:c r="B6" s="12" t="n">
        <x:v>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Shopping budget (USD)</x:v>
      </x:c>
      <x:c r="B7" s="13" t="n">
        <x:v>20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 t="str">
        <x:v>Yellow cells are editable meal controls.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 t="str">
        <x:v>Desired servings: whole numbers from 1 to 20.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 t="str">
        <x:v>Budget: any nonnegative USD amount.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dataValidations count="2">
    <x:dataValidation showErrorMessage="1" errorStyle="stop" allowBlank="0" errorTitle="Invalid input" error="Enter a value within the permitted range." type="whole" operator="between" sqref="B6">
      <x:formula1>1</x:formula1>
      <x:formula2>20</x:formula2>
    </x:dataValidation>
    <x:dataValidation showErrorMessage="1" errorStyle="stop" allowBlank="0" errorTitle="Invalid input" error="Enter a value within the permitted range." type="decimal" operator="greaterThanOrEqual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ingredients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Source: user-supplied illustrative quantities and prices. All quantities are grams.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4" customHeight="1">
      <x:c r="A5" s="7" t="str">
        <x:v>Ingredient</x:v>
      </x:c>
      <x:c r="B5" s="7" t="str">
        <x:v>Base quantity for 2 servings (g)</x:v>
      </x:c>
      <x:c r="C5" s="7" t="str">
        <x:v>Stock available (g)</x:v>
      </x:c>
      <x:c r="D5" s="7" t="str">
        <x:v>Package size (g)</x:v>
      </x:c>
      <x:c r="E5" s="7" t="str">
        <x:v>Package price (USD)</x:v>
      </x:c>
      <x:c r="F5" s="7" t="str">
        <x:v>Required quantity (g)</x:v>
      </x:c>
      <x:c r="G5" s="7" t="str">
        <x:v>Used-ingredient cost (USD)</x:v>
      </x:c>
      <x:c r="H5" s="1"/>
      <x:c r="I5" s="1"/>
      <x:c r="J5" s="1"/>
      <x:c r="K5" s="1"/>
      <x:c r="L5" s="1"/>
    </x:row>
    <x:row r="6" ht="23" customHeight="1">
      <x:c r="A6" s="1" t="str">
        <x:v>Spaghetti (dry)</x:v>
      </x:c>
      <x:c r="B6" s="15" t="n">
        <x:v>200</x:v>
      </x:c>
      <x:c r="C6" s="15" t="n">
        <x:v>100</x:v>
      </x:c>
      <x:c r="D6" s="15" t="n">
        <x:v>500</x:v>
      </x:c>
      <x:c r="E6" s="11" t="n">
        <x:v>2.5</x:v>
      </x:c>
      <x:c r="F6" s="16" t="n">
        <x:f>B6*'Setup'!$B$6/'Setup'!$B$5</x:f>
        <x:v>600</x:v>
      </x:c>
      <x:c r="G6" s="9" t="n">
        <x:f>F6/D6*E6</x:f>
        <x:v>3</x:v>
      </x:c>
      <x:c r="H6" s="1"/>
      <x:c r="I6" s="1"/>
      <x:c r="J6" s="1"/>
      <x:c r="K6" s="1"/>
      <x:c r="L6" s="1"/>
    </x:row>
    <x:row r="7" ht="23" customHeight="1">
      <x:c r="A7" s="1" t="str">
        <x:v>Guanciale</x:v>
      </x:c>
      <x:c r="B7" s="15" t="n">
        <x:v>80</x:v>
      </x:c>
      <x:c r="C7" s="15" t="n">
        <x:v>20</x:v>
      </x:c>
      <x:c r="D7" s="15" t="n">
        <x:v>100</x:v>
      </x:c>
      <x:c r="E7" s="11" t="n">
        <x:v>4</x:v>
      </x:c>
      <x:c r="F7" s="16" t="n">
        <x:f>B7*'Setup'!$B$6/'Setup'!$B$5</x:f>
        <x:v>240</x:v>
      </x:c>
      <x:c r="G7" s="9" t="n">
        <x:f>F7/D7*E7</x:f>
        <x:v>9.6</x:v>
      </x:c>
      <x:c r="H7" s="1"/>
      <x:c r="I7" s="1"/>
      <x:c r="J7" s="1"/>
      <x:c r="K7" s="1"/>
      <x:c r="L7" s="1"/>
    </x:row>
    <x:row r="8" ht="23" customHeight="1">
      <x:c r="A8" s="1" t="str">
        <x:v>Egg yolks</x:v>
      </x:c>
      <x:c r="B8" s="15" t="n">
        <x:v>36</x:v>
      </x:c>
      <x:c r="C8" s="15" t="n">
        <x:v>0</x:v>
      </x:c>
      <x:c r="D8" s="15" t="n">
        <x:v>36</x:v>
      </x:c>
      <x:c r="E8" s="11" t="n">
        <x:v>0.54</x:v>
      </x:c>
      <x:c r="F8" s="16" t="n">
        <x:f>B8*'Setup'!$B$6/'Setup'!$B$5</x:f>
        <x:v>108</x:v>
      </x:c>
      <x:c r="G8" s="9" t="n">
        <x:f>F8/D8*E8</x:f>
        <x:v>1.62</x:v>
      </x:c>
      <x:c r="H8" s="1"/>
      <x:c r="I8" s="1"/>
      <x:c r="J8" s="1"/>
      <x:c r="K8" s="1"/>
      <x:c r="L8" s="1"/>
    </x:row>
    <x:row r="9" ht="23" customHeight="1">
      <x:c r="A9" s="1" t="str">
        <x:v>Pecorino Romano</x:v>
      </x:c>
      <x:c r="B9" s="15" t="n">
        <x:v>40</x:v>
      </x:c>
      <x:c r="C9" s="15" t="n">
        <x:v>10</x:v>
      </x:c>
      <x:c r="D9" s="15" t="n">
        <x:v>100</x:v>
      </x:c>
      <x:c r="E9" s="11" t="n">
        <x:v>3.5</x:v>
      </x:c>
      <x:c r="F9" s="16" t="n">
        <x:f>B9*'Setup'!$B$6/'Setup'!$B$5</x:f>
        <x:v>120</x:v>
      </x:c>
      <x:c r="G9" s="9" t="n">
        <x:f>F9/D9*E9</x:f>
        <x:v>4.2</x:v>
      </x:c>
      <x:c r="H9" s="1"/>
      <x:c r="I9" s="1"/>
      <x:c r="J9" s="1"/>
      <x:c r="K9" s="1"/>
      <x:c r="L9" s="1"/>
    </x:row>
    <x:row r="10" ht="23" customHeight="1">
      <x:c r="A10" s="1" t="str">
        <x:v>Black pepper</x:v>
      </x:c>
      <x:c r="B10" s="15" t="n">
        <x:v>1</x:v>
      </x:c>
      <x:c r="C10" s="15" t="n">
        <x:v>2</x:v>
      </x:c>
      <x:c r="D10" s="15" t="n">
        <x:v>50</x:v>
      </x:c>
      <x:c r="E10" s="11" t="n">
        <x:v>2.5</x:v>
      </x:c>
      <x:c r="F10" s="16" t="n">
        <x:f>B10*'Setup'!$B$6/'Setup'!$B$5</x:f>
        <x:v>3</x:v>
      </x:c>
      <x:c r="G10" s="9" t="n">
        <x:f>F10/D10*E10</x:f>
        <x:v>0.15</x:v>
      </x:c>
      <x:c r="H10" s="1"/>
      <x:c r="I10" s="1"/>
      <x:c r="J10" s="1"/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 t="str">
        <x:v>Egg yolks are weighed without shells or egg whites.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 t="str">
        <x:v>Used cost values the full recipe quantity, including ingredients taken from stock.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pageMargins left="0.7" right="0.7" top="0.75" bottom="0.75" header="0.3" footer="0.3"/>
  <x:tableParts count="1">
    <x:tablePart xmlns:r="http://schemas.openxmlformats.org/officeDocument/2006/relationships" r:id="Rcd33e485be6947f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6" hidden="0" customWidth="1"/>
    <x:col min="12" max="12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shopping list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Desired servings</x:v>
      </x:c>
      <x:c r="B3" s="1" t="n">
        <x:f>'Setup'!B6</x:f>
        <x:v>6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4" customHeight="1">
      <x:c r="A5" s="7" t="str">
        <x:v>Ingredient</x:v>
      </x:c>
      <x:c r="B5" s="7" t="str">
        <x:v>Required quantity (g)</x:v>
      </x:c>
      <x:c r="C5" s="7" t="str">
        <x:v>Stock available (g)</x:v>
      </x:c>
      <x:c r="D5" s="7" t="str">
        <x:v>Additional needed (g)</x:v>
      </x:c>
      <x:c r="E5" s="7" t="str">
        <x:v>Package size (g)</x:v>
      </x:c>
      <x:c r="F5" s="7" t="str">
        <x:v>Package price (USD)</x:v>
      </x:c>
      <x:c r="G5" s="7" t="str">
        <x:v>Packages to buy</x:v>
      </x:c>
      <x:c r="H5" s="7" t="str">
        <x:v>Purchase cost (USD)</x:v>
      </x:c>
      <x:c r="I5" s="7" t="str">
        <x:v>Stock after cooking (g)</x:v>
      </x:c>
      <x:c r="J5" s="7" t="str">
        <x:v>Used-ingredient cost (USD)</x:v>
      </x:c>
      <x:c r="K5" s="1"/>
      <x:c r="L5" s="1"/>
    </x:row>
    <x:row r="6" ht="23" customHeight="1">
      <x:c r="A6" s="1" t="str">
        <x:f>'Ingredients'!A6</x:f>
        <x:v>Spaghetti (dry)</x:v>
      </x:c>
      <x:c r="B6" s="16" t="n">
        <x:f>'Ingredients'!F6</x:f>
        <x:v>600</x:v>
      </x:c>
      <x:c r="C6" s="16" t="n">
        <x:f>'Ingredients'!C6</x:f>
        <x:v>100</x:v>
      </x:c>
      <x:c r="D6" s="16" t="n">
        <x:f>MAX(B6-C6,0)</x:f>
        <x:v>500</x:v>
      </x:c>
      <x:c r="E6" s="16" t="n">
        <x:f>'Ingredients'!D6</x:f>
        <x:v>500</x:v>
      </x:c>
      <x:c r="F6" s="9" t="n">
        <x:f>'Ingredients'!E6</x:f>
        <x:v>2.5</x:v>
      </x:c>
      <x:c r="G6" s="8" t="n">
        <x:f>ROUNDUP(D6/E6,0)</x:f>
        <x:v>1</x:v>
      </x:c>
      <x:c r="H6" s="9" t="n">
        <x:f>G6*F6</x:f>
        <x:v>2.5</x:v>
      </x:c>
      <x:c r="I6" s="16" t="n">
        <x:f>C6+G6*E6-B6</x:f>
        <x:v>0</x:v>
      </x:c>
      <x:c r="J6" s="9" t="n">
        <x:f>'Ingredients'!G6</x:f>
        <x:v>3</x:v>
      </x:c>
      <x:c r="K6" s="1"/>
      <x:c r="L6" s="1"/>
    </x:row>
    <x:row r="7" ht="23" customHeight="1">
      <x:c r="A7" s="1" t="str">
        <x:f>'Ingredients'!A7</x:f>
        <x:v>Guanciale</x:v>
      </x:c>
      <x:c r="B7" s="16" t="n">
        <x:f>'Ingredients'!F7</x:f>
        <x:v>240</x:v>
      </x:c>
      <x:c r="C7" s="16" t="n">
        <x:f>'Ingredients'!C7</x:f>
        <x:v>20</x:v>
      </x:c>
      <x:c r="D7" s="16" t="n">
        <x:f>MAX(B7-C7,0)</x:f>
        <x:v>220</x:v>
      </x:c>
      <x:c r="E7" s="16" t="n">
        <x:f>'Ingredients'!D7</x:f>
        <x:v>100</x:v>
      </x:c>
      <x:c r="F7" s="9" t="n">
        <x:f>'Ingredients'!E7</x:f>
        <x:v>4</x:v>
      </x:c>
      <x:c r="G7" s="8" t="n">
        <x:f>ROUNDUP(D7/E7,0)</x:f>
        <x:v>3</x:v>
      </x:c>
      <x:c r="H7" s="9" t="n">
        <x:f>G7*F7</x:f>
        <x:v>12</x:v>
      </x:c>
      <x:c r="I7" s="16" t="n">
        <x:f>C7+G7*E7-B7</x:f>
        <x:v>80</x:v>
      </x:c>
      <x:c r="J7" s="9" t="n">
        <x:f>'Ingredients'!G7</x:f>
        <x:v>9.6</x:v>
      </x:c>
      <x:c r="K7" s="1"/>
      <x:c r="L7" s="1"/>
    </x:row>
    <x:row r="8" ht="23" customHeight="1">
      <x:c r="A8" s="1" t="str">
        <x:f>'Ingredients'!A8</x:f>
        <x:v>Egg yolks</x:v>
      </x:c>
      <x:c r="B8" s="16" t="n">
        <x:f>'Ingredients'!F8</x:f>
        <x:v>108</x:v>
      </x:c>
      <x:c r="C8" s="16" t="n">
        <x:f>'Ingredients'!C8</x:f>
        <x:v>0</x:v>
      </x:c>
      <x:c r="D8" s="16" t="n">
        <x:f>MAX(B8-C8,0)</x:f>
        <x:v>108</x:v>
      </x:c>
      <x:c r="E8" s="16" t="n">
        <x:f>'Ingredients'!D8</x:f>
        <x:v>36</x:v>
      </x:c>
      <x:c r="F8" s="9" t="n">
        <x:f>'Ingredients'!E8</x:f>
        <x:v>0.54</x:v>
      </x:c>
      <x:c r="G8" s="8" t="n">
        <x:f>ROUNDUP(D8/E8,0)</x:f>
        <x:v>3</x:v>
      </x:c>
      <x:c r="H8" s="9" t="n">
        <x:f>G8*F8</x:f>
        <x:v>1.62</x:v>
      </x:c>
      <x:c r="I8" s="16" t="n">
        <x:f>C8+G8*E8-B8</x:f>
        <x:v>0</x:v>
      </x:c>
      <x:c r="J8" s="9" t="n">
        <x:f>'Ingredients'!G8</x:f>
        <x:v>1.62</x:v>
      </x:c>
      <x:c r="K8" s="1"/>
      <x:c r="L8" s="1"/>
    </x:row>
    <x:row r="9" ht="23" customHeight="1">
      <x:c r="A9" s="1" t="str">
        <x:f>'Ingredients'!A9</x:f>
        <x:v>Pecorino Romano</x:v>
      </x:c>
      <x:c r="B9" s="16" t="n">
        <x:f>'Ingredients'!F9</x:f>
        <x:v>120</x:v>
      </x:c>
      <x:c r="C9" s="16" t="n">
        <x:f>'Ingredients'!C9</x:f>
        <x:v>10</x:v>
      </x:c>
      <x:c r="D9" s="16" t="n">
        <x:f>MAX(B9-C9,0)</x:f>
        <x:v>110</x:v>
      </x:c>
      <x:c r="E9" s="16" t="n">
        <x:f>'Ingredients'!D9</x:f>
        <x:v>100</x:v>
      </x:c>
      <x:c r="F9" s="9" t="n">
        <x:f>'Ingredients'!E9</x:f>
        <x:v>3.5</x:v>
      </x:c>
      <x:c r="G9" s="8" t="n">
        <x:f>ROUNDUP(D9/E9,0)</x:f>
        <x:v>2</x:v>
      </x:c>
      <x:c r="H9" s="9" t="n">
        <x:f>G9*F9</x:f>
        <x:v>7</x:v>
      </x:c>
      <x:c r="I9" s="16" t="n">
        <x:f>C9+G9*E9-B9</x:f>
        <x:v>90</x:v>
      </x:c>
      <x:c r="J9" s="9" t="n">
        <x:f>'Ingredients'!G9</x:f>
        <x:v>4.2</x:v>
      </x:c>
      <x:c r="K9" s="1"/>
      <x:c r="L9" s="1"/>
    </x:row>
    <x:row r="10" ht="23" customHeight="1">
      <x:c r="A10" s="1" t="str">
        <x:f>'Ingredients'!A10</x:f>
        <x:v>Black pepper</x:v>
      </x:c>
      <x:c r="B10" s="16" t="n">
        <x:f>'Ingredients'!F10</x:f>
        <x:v>3</x:v>
      </x:c>
      <x:c r="C10" s="16" t="n">
        <x:f>'Ingredients'!C10</x:f>
        <x:v>2</x:v>
      </x:c>
      <x:c r="D10" s="16" t="n">
        <x:f>MAX(B10-C10,0)</x:f>
        <x:v>1</x:v>
      </x:c>
      <x:c r="E10" s="16" t="n">
        <x:f>'Ingredients'!D10</x:f>
        <x:v>50</x:v>
      </x:c>
      <x:c r="F10" s="9" t="n">
        <x:f>'Ingredients'!E10</x:f>
        <x:v>2.5</x:v>
      </x:c>
      <x:c r="G10" s="8" t="n">
        <x:f>ROUNDUP(D10/E10,0)</x:f>
        <x:v>1</x:v>
      </x:c>
      <x:c r="H10" s="9" t="n">
        <x:f>G10*F10</x:f>
        <x:v>2.5</x:v>
      </x:c>
      <x:c r="I10" s="16" t="n">
        <x:f>C10+G10*E10-B10</x:f>
        <x:v>49</x:v>
      </x:c>
      <x:c r="J10" s="9" t="n">
        <x:f>'Ingredients'!G10</x:f>
        <x:v>0.15</x:v>
      </x:c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9"/>
      <x:c r="I11" s="1"/>
      <x:c r="J11" s="9"/>
      <x:c r="K11" s="1"/>
      <x:c r="L11" s="1"/>
    </x:row>
    <x:row r="12" ht="23" customHeight="1">
      <x:c r="A12" s="17" t="str">
        <x:v>Totals</x:v>
      </x:c>
      <x:c r="B12" s="17"/>
      <x:c r="C12" s="17"/>
      <x:c r="D12" s="17"/>
      <x:c r="E12" s="17"/>
      <x:c r="F12" s="17"/>
      <x:c r="G12" s="17"/>
      <x:c r="H12" s="18" t="n">
        <x:f>SUM(H6:H10)</x:f>
        <x:v>25.62</x:v>
      </x:c>
      <x:c r="I12" s="17"/>
      <x:c r="J12" s="18" t="n">
        <x:f>SUM(J6:J10)</x:f>
        <x:v>18.569999999999997</x:v>
      </x:c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conditionalFormatting sqref="A6:J10">
    <x:cfRule type="expression" dxfId="0" priority="1">
      <x:formula>$G6&gt;0</x:formula>
    </x:cfRule>
  </x:conditionalFormatting>
  <x:conditionalFormatting sqref="H12:H12">
    <x:cfRule type="expression" dxfId="1" priority="2">
      <x:formula>H12&gt;'Setup'!$B$7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4495E"/>
  </x:sheetPr>
  <x:sheetViews>
    <x:sheetView showGridLines="0" workbookViewId="0"/>
  </x:sheetViews>
  <x:sheetFormatPr defaultRowHeight="15"/>
  <x:cols>
    <x:col min="1" max="1" width="31" hidden="0" customWidth="1"/>
    <x:col min="2" max="2" width="21" hidden="0" customWidth="1"/>
    <x:col min="3" max="3" width="21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cost dashboard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4" customHeight="1">
      <x:c r="A4" s="7" t="str">
        <x:v>Metric</x:v>
      </x:c>
      <x:c r="B4" s="7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Desired servings</x:v>
      </x:c>
      <x:c r="B5" s="1" t="n">
        <x:f>'Setup'!B6</x:f>
        <x:v>6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Total used-ingredient cost</x:v>
      </x:c>
      <x:c r="B6" s="9" t="n">
        <x:f>'ShoppingList'!J12</x:f>
        <x:v>18.569999999999997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Used cost per serving</x:v>
      </x:c>
      <x:c r="B7" s="9" t="n">
        <x:f>ROUND(ROUND(B6,2)/B5,2)</x:f>
        <x:v>3.1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 t="str">
        <x:v>Total purchase cost</x:v>
      </x:c>
      <x:c r="B8" s="9" t="n">
        <x:f>'ShoppingList'!H12</x:f>
        <x:v>25.62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 t="str">
        <x:v>Shopping budget</x:v>
      </x:c>
      <x:c r="B9" s="9" t="n">
        <x:f>'Setup'!B7</x:f>
        <x:v>20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 t="str">
        <x:v>Budget remaining</x:v>
      </x:c>
      <x:c r="B10" s="9" t="n">
        <x:f>B9-B8</x:f>
        <x:v>-5.620000000000001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 t="str">
        <x:v>Budget status</x:v>
      </x:c>
      <x:c r="B11" s="1" t="str">
        <x:f>IF(B8&lt;=B9,"Within budget","Over budget")</x:f>
        <x:v>Over budget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44" customHeight="1">
      <x:c r="A14" s="7" t="str">
        <x:v>Ingredient</x:v>
      </x:c>
      <x:c r="B14" s="7" t="str">
        <x:v>Purchase cost (USD)</x:v>
      </x:c>
      <x:c r="C14" s="7" t="str">
        <x:v>Used cost (USD)</x:v>
      </x:c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 t="str">
        <x:f>'ShoppingList'!A6</x:f>
        <x:v>Spaghetti (dry)</x:v>
      </x:c>
      <x:c r="B15" s="9" t="n">
        <x:f>'ShoppingList'!H6</x:f>
        <x:v>2.5</x:v>
      </x:c>
      <x:c r="C15" s="9" t="n">
        <x:f>'ShoppingList'!J6</x:f>
        <x:v>3</x:v>
      </x:c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 t="str">
        <x:f>'ShoppingList'!A7</x:f>
        <x:v>Guanciale</x:v>
      </x:c>
      <x:c r="B16" s="9" t="n">
        <x:f>'ShoppingList'!H7</x:f>
        <x:v>12</x:v>
      </x:c>
      <x:c r="C16" s="9" t="n">
        <x:f>'ShoppingList'!J7</x:f>
        <x:v>9.6</x:v>
      </x:c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 t="str">
        <x:f>'ShoppingList'!A8</x:f>
        <x:v>Egg yolks</x:v>
      </x:c>
      <x:c r="B17" s="9" t="n">
        <x:f>'ShoppingList'!H8</x:f>
        <x:v>1.62</x:v>
      </x:c>
      <x:c r="C17" s="9" t="n">
        <x:f>'ShoppingList'!J8</x:f>
        <x:v>1.62</x:v>
      </x:c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 t="str">
        <x:f>'ShoppingList'!A9</x:f>
        <x:v>Pecorino Romano</x:v>
      </x:c>
      <x:c r="B18" s="9" t="n">
        <x:f>'ShoppingList'!H9</x:f>
        <x:v>7</x:v>
      </x:c>
      <x:c r="C18" s="9" t="n">
        <x:f>'ShoppingList'!J9</x:f>
        <x:v>4.2</x:v>
      </x:c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 t="str">
        <x:f>'ShoppingList'!A10</x:f>
        <x:v>Black pepper</x:v>
      </x:c>
      <x:c r="B19" s="9" t="n">
        <x:f>'ShoppingList'!H10</x:f>
        <x:v>2.5</x:v>
      </x:c>
      <x:c r="C19" s="9" t="n">
        <x:f>'ShoppingList'!J10</x:f>
        <x:v>0.15</x:v>
      </x:c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conditionalFormatting sqref="B8:B8">
    <x:cfRule type="expression" dxfId="2" priority="1">
      <x:formula>B8&gt;B9</x:formula>
    </x:cfRule>
  </x:conditionalFormatting>
  <x:conditionalFormatting sqref="B10:B11">
    <x:cfRule type="expression" dxfId="3" priority="2">
      <x:formula>$B$8&gt;$B$9</x:formula>
    </x:cfRule>
  </x:conditionalFormatting>
  <x:pageMargins left="0.7" right="0.7" top="0.75" bottom="0.75" header="0.3" footer="0.3"/>
  <x:drawing xmlns:r="http://schemas.openxmlformats.org/officeDocument/2006/relationships" r:id="Rdb8693cd16e14274"/>
</x:worksheet>
</file>