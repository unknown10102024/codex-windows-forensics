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36c4eacb4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cdafa53514a4d27"/>
    <x:sheet xmlns:r="http://schemas.openxmlformats.org/officeDocument/2006/relationships" name="Ingredients" sheetId="2" r:id="R98f628639e294168"/>
    <x:sheet xmlns:r="http://schemas.openxmlformats.org/officeDocument/2006/relationships" name="ShoppingList" sheetId="3" r:id="Rd799e8aef91840bb"/>
    <x:sheet xmlns:r="http://schemas.openxmlformats.org/officeDocument/2006/relationships" name="Dashboard" sheetId="4" r:id="R1b2acdc4bd634a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(&quot;$&quot;#,##0.00);&quot;$&quot;0.00"/>
    <x:numFmt numFmtId="202" formatCode="#,##0.0;[Red](#,##0.0);0.0"/>
  </x:numFmts>
  <x:fonts count="7">
    <x:font>
      <x:sz val="11"/>
      <x:name val="Carlito"/>
    </x:font>
    <x:font>
      <x:sz val="11"/>
      <x:color rgb="FF25364A"/>
      <x:name val="Arial"/>
    </x:font>
    <x:font>
      <x:b/>
      <x:sz val="17"/>
      <x:color rgb="FF243B53"/>
      <x:name val="Arial"/>
    </x:font>
    <x:font>
      <x:i/>
      <x:sz val="10"/>
      <x:color rgb="FF62748A"/>
      <x:name val="Arial"/>
    </x:font>
    <x:font>
      <x:b/>
      <x:sz val="11"/>
      <x:color rgb="FFFFFFFF"/>
      <x:name val="Arial"/>
    </x:font>
    <x:font>
      <x:sz val="11"/>
      <x:color rgb="FF2454A4"/>
      <x:name val="Arial"/>
    </x:font>
    <x:font>
      <x:b/>
      <x:sz val="11"/>
      <x:color rgb="FF2536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3CE"/>
      </x:patternFill>
    </x:fill>
    <x:fill>
      <x:patternFill patternType="solid">
        <x:fgColor rgb="FFF2F5F8"/>
      </x:patternFill>
    </x:fill>
  </x:fills>
  <x:borders count="6">
    <x:border/>
    <x:border>
      <x:bottom style="thin">
        <x:color rgb="FFCAD4DF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  <x:border>
      <x:top style="thin">
        <x:color rgb="FFCAD4DF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2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right" vertical="center"/>
    </x:xf>
    <x:xf numFmtId="201" fontId="6" fillId="4" borderId="0" xfId="0" applyNumberFormat="1" applyFont="1" applyFill="1" applyBorder="1" applyAlignment="1">
      <x:alignment horizontal="right" vertical="center"/>
    </x:xf>
    <x:xf numFmtId="0" fontId="6" fillId="4" borderId="5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horizontal="right" vertical="center"/>
    </x:xf>
    <x:xf numFmtId="201" fontId="6" fillId="4" borderId="5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ill>
        <x:patternFill patternType="solid">
          <x:bgColor rgb="FFFFF0DD"/>
        </x:patternFill>
      </x:fill>
    </x:dxf>
    <x:dxf>
      <x:font>
        <x:b/>
        <x:color rgb="FF9C2631"/>
      </x:font>
      <x:fill>
        <x:patternFill patternType="solid">
          <x:bgColor rgb="FFFCE8E8"/>
        </x:patternFill>
      </x:fill>
    </x:dxf>
    <x:dxf>
      <x:font>
        <x:b/>
        <x:color rgb="FF9C2631"/>
      </x:font>
      <x:fill>
        <x:patternFill patternType="solid">
          <x:bgColor rgb="FFFCE8E8"/>
        </x:patternFill>
      </x:fill>
    </x:dxf>
    <x:dxf>
      <x:font>
        <x:b/>
        <x:color rgb="FF9C2631"/>
      </x:font>
      <x:fill>
        <x:patternFill patternType="solid">
          <x:bgColor rgb="FFFCE8E8"/>
        </x:patternFill>
      </x:fill>
    </x:dxf>
    <x:dxf>
      <x:font>
        <x:b/>
        <x:color rgb="FF9C2631"/>
      </x:font>
      <x:fill>
        <x:patternFill patternType="solid">
          <x:bgColor rgb="FFFC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3455f3edc491e" /><Relationship Type="http://schemas.openxmlformats.org/officeDocument/2006/relationships/theme" Target="/xl/theme/theme1.xml" Id="R9b8e6fbf0a274216" /><Relationship Type="http://schemas.openxmlformats.org/officeDocument/2006/relationships/sharedStrings" Target="/xl/sharedStrings.xml" Id="Re4eeb1ef478c4b52" /><Relationship Type="http://schemas.openxmlformats.org/officeDocument/2006/relationships/worksheet" Target="/xl/worksheets/sheet1.xml" Id="R8cdafa53514a4d27" /><Relationship Type="http://schemas.openxmlformats.org/officeDocument/2006/relationships/worksheet" Target="/xl/worksheets/sheet2.xml" Id="R98f628639e294168" /><Relationship Type="http://schemas.openxmlformats.org/officeDocument/2006/relationships/worksheet" Target="/xl/worksheets/sheet3.xml" Id="Rd799e8aef91840bb" /><Relationship Type="http://schemas.openxmlformats.org/officeDocument/2006/relationships/worksheet" Target="/xl/worksheets/sheet4.xml" Id="R1b2acdc4bd634a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f37cf80fc241a4" /><Relationship Type="http://schemas.openxmlformats.org/officeDocument/2006/relationships/chart" Target="/xl/drawings/charts/chart2.xml" Id="R5ff574f800bc45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06A8A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Used-ingredient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"$"#,##0.00;[Red]("$"#,##0.00);"$"0.00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f37cf80fc241a4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f574f800bc45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ef3e9791c047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9c0375599ac485a" /></Relationships>
</file>

<file path=xl/worksheets/sheet1.xml><?xml version="1.0" encoding="utf-8"?>
<x:worksheet xmlns:x="http://schemas.openxmlformats.org/spreadsheetml/2006/main">
  <x:sheetPr>
    <x:tabColor rgb="FF56728C"/>
  </x:sheetPr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4" hidden="0" customWidth="1"/>
    <x:col min="4" max="4" width="66" hidden="0" customWidth="1"/>
  </x:cols>
  <x:sheetData>
    <x:row r="1" ht="9" customHeight="1">
      <x:c r="A1" s="2"/>
      <x:c r="B1" s="2"/>
      <x:c r="C1" s="2"/>
      <x:c r="D1" s="2"/>
    </x:row>
    <x:row r="2" ht="32" customHeight="1">
      <x:c r="A2" s="4" t="str">
        <x:v>Carbonara meal planner</x:v>
      </x:c>
      <x:c r="B2" s="5"/>
      <x:c r="C2" s="5"/>
      <x:c r="D2" s="5"/>
    </x:row>
    <x:row r="3" ht="25" customHeight="1">
      <x:c r="A3" s="6" t="str">
        <x:v>Edit the amber cells to update the plan.</x:v>
      </x:c>
      <x:c r="B3" s="2"/>
      <x:c r="C3" s="2"/>
      <x:c r="D3" s="2"/>
    </x:row>
    <x:row r="4" ht="25" customHeight="1">
      <x:c r="A4" s="2"/>
      <x:c r="B4" s="2"/>
      <x:c r="C4" s="2"/>
      <x:c r="D4" s="2"/>
    </x:row>
    <x:row r="5" ht="28" customHeight="1">
      <x:c r="A5" s="13" t="str">
        <x:v>Setting</x:v>
      </x:c>
      <x:c r="B5" s="14" t="str">
        <x:v>Value</x:v>
      </x:c>
      <x:c r="C5" s="2"/>
      <x:c r="D5" s="2"/>
    </x:row>
    <x:row r="6" ht="31" customHeight="1">
      <x:c r="A6" s="2" t="str">
        <x:v>Base recipe servings</x:v>
      </x:c>
      <x:c r="B6" s="23" t="n">
        <x:v>2</x:v>
      </x:c>
      <x:c r="C6" s="2"/>
      <x:c r="D6" s="2" t="str">
        <x:v>Recipe quantities are based on 2 servings.</x:v>
      </x:c>
    </x:row>
    <x:row r="7" ht="31" customHeight="1">
      <x:c r="A7" s="2" t="str">
        <x:v>Desired servings</x:v>
      </x:c>
      <x:c r="B7" s="21" t="n">
        <x:v>6</x:v>
      </x:c>
      <x:c r="C7" s="2"/>
      <x:c r="D7" s="2" t="str">
        <x:v>Choose 1 to 20 whole servings.</x:v>
      </x:c>
    </x:row>
    <x:row r="8" ht="31" customHeight="1">
      <x:c r="A8" s="2" t="str">
        <x:v>Shopping budget (USD)</x:v>
      </x:c>
      <x:c r="B8" s="22" t="n">
        <x:v>20</x:v>
      </x:c>
      <x:c r="C8" s="2"/>
      <x:c r="D8" s="2" t="str">
        <x:v>Budget applies to whole-package purchases.</x:v>
      </x:c>
    </x:row>
    <x:row r="9" ht="25" customHeight="1">
      <x:c r="A9" s="2"/>
      <x:c r="B9" s="2"/>
      <x:c r="C9" s="2"/>
      <x:c r="D9" s="2"/>
    </x:row>
    <x:row r="10" ht="25" customHeight="1">
      <x:c r="A10" s="2"/>
      <x:c r="B10" s="2"/>
      <x:c r="C10" s="2"/>
      <x:c r="D10" s="2"/>
    </x:row>
    <x:row r="11" ht="25" customHeight="1">
      <x:c r="A11" s="24" t="str">
        <x:v>How costs are calculated</x:v>
      </x:c>
      <x:c r="B11" s="2"/>
      <x:c r="C11" s="2"/>
      <x:c r="D11" s="2"/>
    </x:row>
    <x:row r="12" ht="25" customHeight="1">
      <x:c r="A12" s="2" t="str">
        <x:v>Used-ingredient cost</x:v>
      </x:c>
      <x:c r="B12" s="2" t="str">
        <x:v>Value of all ingredients used, including stock.</x:v>
      </x:c>
      <x:c r="C12" s="2"/>
      <x:c r="D12" s="2"/>
    </x:row>
    <x:row r="13" ht="25" customHeight="1">
      <x:c r="A13" s="2" t="str">
        <x:v>Purchase cost</x:v>
      </x:c>
      <x:c r="B13" s="2" t="str">
        <x:v>Cash needed for whole packages after using stock.</x:v>
      </x:c>
      <x:c r="C13" s="2"/>
      <x:c r="D13" s="2"/>
    </x:row>
    <x:row r="14" ht="25" customHeight="1">
      <x:c r="A14" s="2"/>
      <x:c r="B14" s="2"/>
      <x:c r="C14" s="2"/>
      <x:c r="D14" s="2"/>
    </x:row>
    <x:row r="15" ht="25" customHeight="1">
      <x:c r="A15" s="2"/>
      <x:c r="B15" s="2"/>
      <x:c r="C15" s="2"/>
      <x:c r="D15" s="2"/>
    </x:row>
    <x:row r="16" ht="25" customHeight="1">
      <x:c r="A16" s="6" t="str">
        <x:v>All quantities are grams. Egg yolks exclude shells and egg whites.</x:v>
      </x:c>
      <x:c r="B16" s="2"/>
      <x:c r="C16" s="2"/>
      <x:c r="D16" s="2"/>
    </x:row>
    <x:row r="17" ht="25" customHeight="1">
      <x:c r="A17" s="2"/>
      <x:c r="B17" s="2"/>
      <x:c r="C17" s="2"/>
      <x:c r="D17" s="2"/>
    </x:row>
    <x:row r="18" ht="25" customHeight="1">
      <x:c r="A18" s="2"/>
      <x:c r="B18" s="2"/>
      <x:c r="C18" s="2"/>
      <x:c r="D18" s="2"/>
    </x:row>
  </x:sheetData>
  <x:dataValidations count="2">
    <x:dataValidation type="whole" errorStyle="stop" operator="between" allowBlank="0" showErrorMessage="1" errorTitle="Whole servings required" error="Enter a whole number from 1 through 20." sqref="B7">
      <x:formula1>1</x:formula1>
      <x:formula2>20</x:formula2>
    </x:dataValidation>
    <x:dataValidation type="decimal" errorStyle="stop" operator="greaterThanOrEqual" allowBlank="0" showErrorMessage="1" errorTitle="Nonnegative number required" error="Enter the budget as a number greater than or equal to zero." sqref="B8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</x:row>
    <x:row r="2" ht="32" customHeight="1">
      <x:c r="A2" s="4" t="str">
        <x:v>Ingredients</x:v>
      </x:c>
      <x:c r="B2" s="5"/>
      <x:c r="C2" s="5"/>
      <x:c r="D2" s="5"/>
      <x:c r="E2" s="5"/>
      <x:c r="F2" s="5"/>
      <x:c r="G2" s="5"/>
    </x:row>
    <x:row r="3" ht="25" customHeight="1">
      <x:c r="A3" s="6" t="str">
        <x:v>Source: user-provided illustrative data. Amber cells are editable. All quantities are grams.</x:v>
      </x:c>
      <x:c r="B3" s="2"/>
      <x:c r="C3" s="2"/>
      <x:c r="D3" s="2"/>
      <x:c r="E3" s="2"/>
      <x:c r="F3" s="2"/>
      <x:c r="G3" s="2"/>
    </x:row>
    <x:row r="4" ht="25" customHeight="1">
      <x:c r="A4" s="2"/>
      <x:c r="B4" s="2"/>
      <x:c r="C4" s="2"/>
      <x:c r="D4" s="2"/>
      <x:c r="E4" s="2"/>
      <x:c r="F4" s="2"/>
      <x:c r="G4" s="2"/>
    </x:row>
    <x:row r="5" ht="46" customHeight="1">
      <x:c r="A5" s="13" t="str">
        <x:v>Ingredient</x:v>
      </x:c>
      <x:c r="B5" s="27" t="str">
        <x:v>Base quantity (g)</x:v>
      </x:c>
      <x:c r="C5" s="27" t="str">
        <x:v>Stock available (g)</x:v>
      </x:c>
      <x:c r="D5" s="27" t="str">
        <x:v>Package size (g)</x:v>
      </x:c>
      <x:c r="E5" s="27" t="str">
        <x:v>Package price (USD)</x:v>
      </x:c>
      <x:c r="F5" s="27" t="str">
        <x:v>Required quantity (g)</x:v>
      </x:c>
      <x:c r="G5" s="14" t="str">
        <x:v>Used-ingredient cost (USD)</x:v>
      </x:c>
    </x:row>
    <x:row r="6" ht="31" customHeight="1">
      <x:c r="A6" s="16" t="str">
        <x:v>Spaghetti (dry)</x:v>
      </x:c>
      <x:c r="B6" s="31" t="n">
        <x:v>200</x:v>
      </x:c>
      <x:c r="C6" s="31" t="n">
        <x:v>100</x:v>
      </x:c>
      <x:c r="D6" s="31" t="n">
        <x:v>500</x:v>
      </x:c>
      <x:c r="E6" s="22" t="n">
        <x:v>2.5</x:v>
      </x:c>
      <x:c r="F6" s="32" t="n">
        <x:f>B6*'Setup'!$B$7/'Setup'!$B$6</x:f>
        <x:v>600</x:v>
      </x:c>
      <x:c r="G6" s="33" t="n">
        <x:f>F6/D6*E6</x:f>
        <x:v>3</x:v>
      </x:c>
    </x:row>
    <x:row r="7" ht="31" customHeight="1">
      <x:c r="A7" s="16" t="str">
        <x:v>Guanciale</x:v>
      </x:c>
      <x:c r="B7" s="31" t="n">
        <x:v>80</x:v>
      </x:c>
      <x:c r="C7" s="31" t="n">
        <x:v>20</x:v>
      </x:c>
      <x:c r="D7" s="31" t="n">
        <x:v>100</x:v>
      </x:c>
      <x:c r="E7" s="22" t="n">
        <x:v>4</x:v>
      </x:c>
      <x:c r="F7" s="32" t="n">
        <x:f>B7*'Setup'!$B$7/'Setup'!$B$6</x:f>
        <x:v>240</x:v>
      </x:c>
      <x:c r="G7" s="33" t="n">
        <x:f>F7/D7*E7</x:f>
        <x:v>9.6</x:v>
      </x:c>
    </x:row>
    <x:row r="8" ht="31" customHeight="1">
      <x:c r="A8" s="16" t="str">
        <x:v>Egg yolks</x:v>
      </x:c>
      <x:c r="B8" s="31" t="n">
        <x:v>36</x:v>
      </x:c>
      <x:c r="C8" s="31" t="n">
        <x:v>0</x:v>
      </x:c>
      <x:c r="D8" s="31" t="n">
        <x:v>36</x:v>
      </x:c>
      <x:c r="E8" s="22" t="n">
        <x:v>0.54</x:v>
      </x:c>
      <x:c r="F8" s="32" t="n">
        <x:f>B8*'Setup'!$B$7/'Setup'!$B$6</x:f>
        <x:v>108</x:v>
      </x:c>
      <x:c r="G8" s="33" t="n">
        <x:f>F8/D8*E8</x:f>
        <x:v>1.62</x:v>
      </x:c>
    </x:row>
    <x:row r="9" ht="31" customHeight="1">
      <x:c r="A9" s="16" t="str">
        <x:v>Pecorino Romano</x:v>
      </x:c>
      <x:c r="B9" s="31" t="n">
        <x:v>40</x:v>
      </x:c>
      <x:c r="C9" s="31" t="n">
        <x:v>10</x:v>
      </x:c>
      <x:c r="D9" s="31" t="n">
        <x:v>100</x:v>
      </x:c>
      <x:c r="E9" s="22" t="n">
        <x:v>3.5</x:v>
      </x:c>
      <x:c r="F9" s="32" t="n">
        <x:f>B9*'Setup'!$B$7/'Setup'!$B$6</x:f>
        <x:v>120</x:v>
      </x:c>
      <x:c r="G9" s="33" t="n">
        <x:f>F9/D9*E9</x:f>
        <x:v>4.2</x:v>
      </x:c>
    </x:row>
    <x:row r="10" ht="31" customHeight="1">
      <x:c r="A10" s="16" t="str">
        <x:v>Black pepper</x:v>
      </x:c>
      <x:c r="B10" s="31" t="n">
        <x:v>1</x:v>
      </x:c>
      <x:c r="C10" s="31" t="n">
        <x:v>2</x:v>
      </x:c>
      <x:c r="D10" s="31" t="n">
        <x:v>50</x:v>
      </x:c>
      <x:c r="E10" s="22" t="n">
        <x:v>2.5</x:v>
      </x:c>
      <x:c r="F10" s="32" t="n">
        <x:f>B10*'Setup'!$B$7/'Setup'!$B$6</x:f>
        <x:v>3</x:v>
      </x:c>
      <x:c r="G10" s="33" t="n">
        <x:f>F10/D10*E10</x:f>
        <x:v>0.15</x:v>
      </x:c>
    </x:row>
    <x:row r="11" ht="25" customHeight="1">
      <x:c r="A11" s="2"/>
      <x:c r="B11" s="2"/>
      <x:c r="C11" s="2"/>
      <x:c r="D11" s="2"/>
      <x:c r="E11" s="2"/>
      <x:c r="F11" s="2"/>
      <x:c r="G11" s="2"/>
    </x:row>
    <x:row r="12" ht="25" customHeight="1">
      <x:c r="A12" s="6" t="str">
        <x:v>Base quantities serve 2. Egg yolks are weighed without shells or egg whites.</x:v>
      </x:c>
      <x:c r="B12" s="2"/>
      <x:c r="C12" s="2"/>
      <x:c r="D12" s="2"/>
      <x:c r="E12" s="2"/>
      <x:c r="F12" s="2"/>
      <x:c r="G12" s="2"/>
    </x:row>
    <x:row r="13" ht="25" customHeight="1">
      <x:c r="A13" s="6" t="str">
        <x:v>Used cost = required quantity / package size × package price.</x:v>
      </x:c>
      <x:c r="B13" s="2"/>
      <x:c r="C13" s="2"/>
      <x:c r="D13" s="2"/>
      <x:c r="E13" s="2"/>
      <x:c r="F13" s="2"/>
      <x:c r="G13" s="2"/>
    </x:row>
    <x:row r="14" ht="25" customHeight="1">
      <x:c r="A14" s="2"/>
      <x:c r="B14" s="2"/>
      <x:c r="C14" s="2"/>
      <x:c r="D14" s="2"/>
      <x:c r="E14" s="2"/>
      <x:c r="F14" s="2"/>
      <x:c r="G14" s="2"/>
    </x:row>
  </x:sheetData>
  <x:dataValidations count="3">
    <x:dataValidation type="decimal" errorStyle="stop" operator="greaterThanOrEqual" allowBlank="0" showErrorMessage="1" errorTitle="Nonnegative number required" error="Enter the quantity as a number greater than or equal to zero." sqref="B6:C10">
      <x:formula1>0</x:formula1>
    </x:dataValidation>
    <x:dataValidation type="decimal" errorStyle="stop" operator="greaterThanOrEqual" allowBlank="0" showErrorMessage="1" errorTitle="Nonnegative number required" error="Enter the package price as a number greater than or equal to zero." sqref="E6:E10">
      <x:formula1>0</x:formula1>
    </x:dataValidation>
    <x:dataValidation type="decimal" errorStyle="stop" operator="greaterThan" allowBlank="0" showErrorMessage="1" errorTitle="Positive size required" error="Enter a package size greater than zero grams." sqref="D6:D10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ef3e9791c0477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6" hidden="0" customWidth="1"/>
    <x:col min="7" max="7" width="13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Shopping list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5" customHeight="1">
      <x:c r="A3" s="2" t="str">
        <x:v>Desired servings</x:v>
      </x:c>
      <x:c r="B3" s="19" t="n">
        <x:f>'Setup'!B7</x:f>
        <x:v>6</x:v>
      </x:c>
      <x:c r="C3" s="2"/>
      <x:c r="D3" s="6" t="str">
        <x:v>Amber rows require a purchase. Quantities are grams.</x:v>
      </x:c>
      <x:c r="E3" s="2"/>
      <x:c r="F3" s="2"/>
      <x:c r="G3" s="2"/>
      <x:c r="H3" s="2"/>
      <x:c r="I3" s="2" t="str">
        <x:v>Budget (USD)</x:v>
      </x:c>
      <x:c r="J3" s="30" t="n">
        <x:f>'Setup'!B8</x:f>
        <x:v>20</x:v>
      </x:c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62" customHeight="1">
      <x:c r="A5" s="13" t="str">
        <x:v>Ingredient</x:v>
      </x:c>
      <x:c r="B5" s="27" t="str">
        <x:v>Required (g)</x:v>
      </x:c>
      <x:c r="C5" s="27" t="str">
        <x:v>Stock (g)</x:v>
      </x:c>
      <x:c r="D5" s="27" t="str">
        <x:v>Additional needed (g)</x:v>
      </x:c>
      <x:c r="E5" s="27" t="str">
        <x:v>Package size (g)</x:v>
      </x:c>
      <x:c r="F5" s="27" t="str">
        <x:v>Package price (USD)</x:v>
      </x:c>
      <x:c r="G5" s="27" t="str">
        <x:v>Packages to buy</x:v>
      </x:c>
      <x:c r="H5" s="27" t="str">
        <x:v>Purchase cost (USD)</x:v>
      </x:c>
      <x:c r="I5" s="27" t="str">
        <x:v>Stock after cooking (g)</x:v>
      </x:c>
      <x:c r="J5" s="14" t="str">
        <x:v>Used-ingredient cost (USD)</x:v>
      </x:c>
    </x:row>
    <x:row r="6" ht="31" customHeight="1">
      <x:c r="A6" s="2" t="str">
        <x:f>'Ingredients'!A6</x:f>
        <x:v>Spaghetti (dry)</x:v>
      </x:c>
      <x:c r="B6" s="32" t="n">
        <x:f>'Ingredients'!F6</x:f>
        <x:v>600</x:v>
      </x:c>
      <x:c r="C6" s="32" t="n">
        <x:f>'Ingredients'!C6</x:f>
        <x:v>100</x:v>
      </x:c>
      <x:c r="D6" s="32" t="n">
        <x:f>MAX(B6-C6,0)</x:f>
        <x:v>500</x:v>
      </x:c>
      <x:c r="E6" s="32" t="n">
        <x:f>'Ingredients'!D6</x:f>
        <x:v>500</x:v>
      </x:c>
      <x:c r="F6" s="33" t="n">
        <x:f>'Ingredients'!E6</x:f>
        <x:v>2.5</x:v>
      </x:c>
      <x:c r="G6" s="20" t="n">
        <x:f>ROUNDUP(D6/E6,0)</x:f>
        <x:v>1</x:v>
      </x:c>
      <x:c r="H6" s="33" t="n">
        <x:f>G6*F6</x:f>
        <x:v>2.5</x:v>
      </x:c>
      <x:c r="I6" s="32" t="n">
        <x:f>C6+G6*E6-B6</x:f>
        <x:v>0</x:v>
      </x:c>
      <x:c r="J6" s="33" t="n">
        <x:f>'Ingredients'!G6</x:f>
        <x:v>3</x:v>
      </x:c>
    </x:row>
    <x:row r="7" ht="31" customHeight="1">
      <x:c r="A7" s="2" t="str">
        <x:f>'Ingredients'!A7</x:f>
        <x:v>Guanciale</x:v>
      </x:c>
      <x:c r="B7" s="32" t="n">
        <x:f>'Ingredients'!F7</x:f>
        <x:v>240</x:v>
      </x:c>
      <x:c r="C7" s="32" t="n">
        <x:f>'Ingredients'!C7</x:f>
        <x:v>20</x:v>
      </x:c>
      <x:c r="D7" s="32" t="n">
        <x:f>MAX(B7-C7,0)</x:f>
        <x:v>220</x:v>
      </x:c>
      <x:c r="E7" s="32" t="n">
        <x:f>'Ingredients'!D7</x:f>
        <x:v>100</x:v>
      </x:c>
      <x:c r="F7" s="33" t="n">
        <x:f>'Ingredients'!E7</x:f>
        <x:v>4</x:v>
      </x:c>
      <x:c r="G7" s="20" t="n">
        <x:f>ROUNDUP(D7/E7,0)</x:f>
        <x:v>3</x:v>
      </x:c>
      <x:c r="H7" s="33" t="n">
        <x:f>G7*F7</x:f>
        <x:v>12</x:v>
      </x:c>
      <x:c r="I7" s="32" t="n">
        <x:f>C7+G7*E7-B7</x:f>
        <x:v>80</x:v>
      </x:c>
      <x:c r="J7" s="33" t="n">
        <x:f>'Ingredients'!G7</x:f>
        <x:v>9.6</x:v>
      </x:c>
    </x:row>
    <x:row r="8" ht="31" customHeight="1">
      <x:c r="A8" s="2" t="str">
        <x:f>'Ingredients'!A8</x:f>
        <x:v>Egg yolks</x:v>
      </x:c>
      <x:c r="B8" s="32" t="n">
        <x:f>'Ingredients'!F8</x:f>
        <x:v>108</x:v>
      </x:c>
      <x:c r="C8" s="32" t="n">
        <x:f>'Ingredients'!C8</x:f>
        <x:v>0</x:v>
      </x:c>
      <x:c r="D8" s="32" t="n">
        <x:f>MAX(B8-C8,0)</x:f>
        <x:v>108</x:v>
      </x:c>
      <x:c r="E8" s="32" t="n">
        <x:f>'Ingredients'!D8</x:f>
        <x:v>36</x:v>
      </x:c>
      <x:c r="F8" s="33" t="n">
        <x:f>'Ingredients'!E8</x:f>
        <x:v>0.54</x:v>
      </x:c>
      <x:c r="G8" s="20" t="n">
        <x:f>ROUNDUP(D8/E8,0)</x:f>
        <x:v>3</x:v>
      </x:c>
      <x:c r="H8" s="33" t="n">
        <x:f>G8*F8</x:f>
        <x:v>1.62</x:v>
      </x:c>
      <x:c r="I8" s="32" t="n">
        <x:f>C8+G8*E8-B8</x:f>
        <x:v>0</x:v>
      </x:c>
      <x:c r="J8" s="33" t="n">
        <x:f>'Ingredients'!G8</x:f>
        <x:v>1.62</x:v>
      </x:c>
    </x:row>
    <x:row r="9" ht="31" customHeight="1">
      <x:c r="A9" s="2" t="str">
        <x:f>'Ingredients'!A9</x:f>
        <x:v>Pecorino Romano</x:v>
      </x:c>
      <x:c r="B9" s="32" t="n">
        <x:f>'Ingredients'!F9</x:f>
        <x:v>120</x:v>
      </x:c>
      <x:c r="C9" s="32" t="n">
        <x:f>'Ingredients'!C9</x:f>
        <x:v>10</x:v>
      </x:c>
      <x:c r="D9" s="32" t="n">
        <x:f>MAX(B9-C9,0)</x:f>
        <x:v>110</x:v>
      </x:c>
      <x:c r="E9" s="32" t="n">
        <x:f>'Ingredients'!D9</x:f>
        <x:v>100</x:v>
      </x:c>
      <x:c r="F9" s="33" t="n">
        <x:f>'Ingredients'!E9</x:f>
        <x:v>3.5</x:v>
      </x:c>
      <x:c r="G9" s="20" t="n">
        <x:f>ROUNDUP(D9/E9,0)</x:f>
        <x:v>2</x:v>
      </x:c>
      <x:c r="H9" s="33" t="n">
        <x:f>G9*F9</x:f>
        <x:v>7</x:v>
      </x:c>
      <x:c r="I9" s="32" t="n">
        <x:f>C9+G9*E9-B9</x:f>
        <x:v>90</x:v>
      </x:c>
      <x:c r="J9" s="33" t="n">
        <x:f>'Ingredients'!G9</x:f>
        <x:v>4.2</x:v>
      </x:c>
    </x:row>
    <x:row r="10" ht="31" customHeight="1">
      <x:c r="A10" s="2" t="str">
        <x:f>'Ingredients'!A10</x:f>
        <x:v>Black pepper</x:v>
      </x:c>
      <x:c r="B10" s="32" t="n">
        <x:f>'Ingredients'!F10</x:f>
        <x:v>3</x:v>
      </x:c>
      <x:c r="C10" s="32" t="n">
        <x:f>'Ingredients'!C10</x:f>
        <x:v>2</x:v>
      </x:c>
      <x:c r="D10" s="32" t="n">
        <x:f>MAX(B10-C10,0)</x:f>
        <x:v>1</x:v>
      </x:c>
      <x:c r="E10" s="32" t="n">
        <x:f>'Ingredients'!D10</x:f>
        <x:v>50</x:v>
      </x:c>
      <x:c r="F10" s="33" t="n">
        <x:f>'Ingredients'!E10</x:f>
        <x:v>2.5</x:v>
      </x:c>
      <x:c r="G10" s="20" t="n">
        <x:f>ROUNDUP(D10/E10,0)</x:f>
        <x:v>1</x:v>
      </x:c>
      <x:c r="H10" s="33" t="n">
        <x:f>G10*F10</x:f>
        <x:v>2.5</x:v>
      </x:c>
      <x:c r="I10" s="32" t="n">
        <x:f>C10+G10*E10-B10</x:f>
        <x:v>49</x:v>
      </x:c>
      <x:c r="J10" s="33" t="n">
        <x:f>'Ingredients'!G10</x:f>
        <x:v>0.15</x:v>
      </x:c>
    </x:row>
    <x:row r="11" ht="25" customHeight="1">
      <x:c r="A11" s="2"/>
      <x:c r="B11" s="34"/>
      <x:c r="C11" s="34"/>
      <x:c r="D11" s="34"/>
      <x:c r="E11" s="34"/>
      <x:c r="F11" s="34"/>
      <x:c r="G11" s="34"/>
      <x:c r="H11" s="33"/>
      <x:c r="I11" s="34"/>
      <x:c r="J11" s="33"/>
    </x:row>
    <x:row r="12" ht="31" customHeight="1">
      <x:c r="A12" s="41" t="str">
        <x:v>TOTAL</x:v>
      </x:c>
      <x:c r="B12" s="42"/>
      <x:c r="C12" s="42"/>
      <x:c r="D12" s="42"/>
      <x:c r="E12" s="42"/>
      <x:c r="F12" s="42"/>
      <x:c r="G12" s="42"/>
      <x:c r="H12" s="43" t="n">
        <x:f>SUM(H6:H10)</x:f>
        <x:v>25.62</x:v>
      </x:c>
      <x:c r="I12" s="42"/>
      <x:c r="J12" s="43" t="n">
        <x:f>SUM(J6:J10)</x:f>
        <x:v>18.569999999999997</x:v>
      </x:c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5" customHeight="1">
      <x:c r="A14" s="6" t="str">
        <x:v>Packages are rounded up. Stock after cooking = stock + packages bought × package size − required quantity.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</x:sheetData>
  <x:conditionalFormatting sqref="A6:J10">
    <x:cfRule type="expression" dxfId="0" priority="1">
      <x:formula>$G6&gt;0</x:formula>
    </x:cfRule>
  </x:conditionalFormatting>
  <x:conditionalFormatting sqref="H12:H12">
    <x:cfRule type="expression" dxfId="1" priority="2">
      <x:formula>$H$12&gt;$J$3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33" hidden="0" customWidth="1"/>
    <x:col min="2" max="2" width="20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4" t="str">
        <x:v>Carbonara cost dashboard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5" customHeight="1">
      <x:c r="A3" s="6" t="str">
        <x:v>Change servings and budget on Setup. Update stock and package prices on Ingredients.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9" customHeight="1">
      <x:c r="A5" s="2" t="str">
        <x:v>Desired servings</x:v>
      </x:c>
      <x:c r="B5" s="44" t="n">
        <x:f>'Setup'!B7</x:f>
        <x:v>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9" customHeight="1">
      <x:c r="A6" s="2" t="str">
        <x:v>Total used-ingredient cost</x:v>
      </x:c>
      <x:c r="B6" s="45" t="n">
        <x:f>'ShoppingList'!J12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9" customHeight="1">
      <x:c r="A7" s="2" t="str">
        <x:v>Used cost per serving</x:v>
      </x:c>
      <x:c r="B7" s="45" t="n">
        <x:f>ROUND(B6/B5,10)</x:f>
        <x:v>3.095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9" customHeight="1">
      <x:c r="A8" s="35" t="str">
        <x:v>Total purchase cost</x:v>
      </x:c>
      <x:c r="B8" s="40" t="n">
        <x:f>'ShoppingList'!H12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9" customHeight="1">
      <x:c r="A9" s="2" t="str">
        <x:v>Shopping budget</x:v>
      </x:c>
      <x:c r="B9" s="45" t="n">
        <x:f>'Setup'!B8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9" customHeight="1">
      <x:c r="A10" s="46" t="str">
        <x:v>Budget remaining</x:v>
      </x:c>
      <x:c r="B10" s="47" t="n">
        <x:f>B9-B8</x:f>
        <x:v>-5.620000000000001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9" customHeight="1">
      <x:c r="A11" s="2" t="str">
        <x:v>Budget status</x:v>
      </x:c>
      <x:c r="B11" s="24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</x:sheetData>
  <x:conditionalFormatting sqref="B8:B8">
    <x:cfRule type="expression" dxfId="2" priority="1">
      <x:formula>$B$8&gt;$B$9</x:formula>
    </x:cfRule>
  </x:conditionalFormatting>
  <x:conditionalFormatting sqref="B10:B10">
    <x:cfRule type="cellIs" dxfId="3" priority="2" operator="lessThan">
      <x:formula>0</x:formula>
    </x:cfRule>
  </x:conditionalFormatting>
  <x:conditionalFormatting sqref="B11:B11">
    <x:cfRule type="expression" dxfId="4" priority="3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f9c0375599ac485a"/>
</x:worksheet>
</file>