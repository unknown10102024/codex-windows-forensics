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1d147b193624f4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etup" sheetId="1" r:id="R15dd30c7c0e24a27"/>
    <x:sheet xmlns:r="http://schemas.openxmlformats.org/officeDocument/2006/relationships" name="Ingredients" sheetId="2" r:id="R2980eabcb8e448f0"/>
    <x:sheet xmlns:r="http://schemas.openxmlformats.org/officeDocument/2006/relationships" name="ShoppingList" sheetId="3" r:id="R7581c9a917f44619"/>
    <x:sheet xmlns:r="http://schemas.openxmlformats.org/officeDocument/2006/relationships" name="Dashboard" sheetId="4" r:id="Rce1d1a4364844de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"/>
    <x:numFmt numFmtId="201" formatCode="&quot;$&quot;#,##0.00"/>
    <x:numFmt numFmtId="202" formatCode="0.##"/>
  </x:numFmts>
  <x:fonts count="5">
    <x:font>
      <x:sz val="11"/>
      <x:name val="Carlito"/>
    </x:font>
    <x:font>
      <x:sz val="11"/>
      <x:color rgb="FF243247"/>
      <x:name val="Arial"/>
    </x:font>
    <x:font>
      <x:b/>
      <x:sz val="16"/>
      <x:color rgb="FF243247"/>
      <x:name val="Arial"/>
    </x:font>
    <x:font>
      <x:b/>
      <x:sz val="11"/>
      <x:color rgb="FFFFFFFF"/>
      <x:name val="Arial"/>
    </x:font>
    <x:font>
      <x:b/>
      <x:sz val="11"/>
      <x:color rgb="FF243247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33465B"/>
      </x:patternFill>
    </x:fill>
    <x:fill>
      <x:patternFill patternType="solid">
        <x:fgColor rgb="FFFFF0C2"/>
      </x:patternFill>
    </x:fill>
  </x:fills>
  <x:borders count="1">
    <x:border/>
  </x:borders>
  <x:cellStyleXfs count="1">
    <x:xf numFmtId="0" fontId="0" fillId="0" borderId="0"/>
  </x:cellStyleXfs>
  <x:cellXfs count="18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/>
    <x:xf numFmtId="200" fontId="1" fillId="0" borderId="0" xfId="0" applyNumberFormat="1" applyFont="1" applyFill="1" applyBorder="1"/>
    <x:xf numFmtId="200" fontId="1" fillId="3" borderId="0" xfId="0" applyNumberFormat="1" applyFont="1" applyFill="1" applyBorder="1"/>
    <x:xf numFmtId="201" fontId="1" fillId="3" borderId="0" xfId="0" applyNumberFormat="1" applyFont="1" applyFill="1" applyBorder="1"/>
    <x:xf numFmtId="202" fontId="1" fillId="3" borderId="0" xfId="0" applyNumberFormat="1" applyFont="1" applyFill="1" applyBorder="1"/>
    <x:xf numFmtId="202" fontId="1" fillId="0" borderId="0" xfId="0" applyNumberFormat="1" applyFont="1" applyFill="1" applyBorder="1"/>
    <x:xf numFmtId="201" fontId="1" fillId="0" borderId="0" xfId="0" applyNumberFormat="1" applyFont="1" applyFill="1" applyBorder="1"/>
    <x:xf numFmtId="0" fontId="4" fillId="0" borderId="0" xfId="0" applyNumberFormat="1" applyFont="1" applyFill="1" applyBorder="1"/>
    <x:xf numFmtId="201" fontId="4" fillId="0" borderId="0" xfId="0" applyNumberFormat="1" applyFont="1" applyFill="1" applyBorder="1"/>
    <x:xf numFmtId="200" fontId="4" fillId="0" borderId="0" xfId="0" applyNumberFormat="1" applyFont="1" applyFill="1" applyBorder="1"/>
  </x:cellXfs>
  <x:cellStyles count="1">
    <x:cellStyle name="Normal" xfId="0"/>
  </x:cellStyles>
  <x:dxfs count="3">
    <x:dxf>
      <x:fill>
        <x:patternFill patternType="solid">
          <x:bgColor rgb="FFE5F0FA"/>
        </x:patternFill>
      </x:fill>
    </x:dxf>
    <x:dxf>
      <x:font>
        <x:b/>
        <x:color rgb="FFB42318"/>
      </x:font>
      <x:fill>
        <x:patternFill patternType="solid">
          <x:bgColor rgb="FFFDE4E1"/>
        </x:patternFill>
      </x:fill>
    </x:dxf>
    <x:dxf>
      <x:font>
        <x:b/>
        <x:color rgb="FFB42318"/>
      </x:font>
      <x:fill>
        <x:patternFill patternType="solid">
          <x:bgColor rgb="FFFDE4E1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47b4cb84b3745ed" /><Relationship Type="http://schemas.openxmlformats.org/officeDocument/2006/relationships/theme" Target="/xl/theme/theme1.xml" Id="R753aada1c290411b" /><Relationship Type="http://schemas.openxmlformats.org/officeDocument/2006/relationships/sharedStrings" Target="/xl/sharedStrings.xml" Id="Rbf081c0651cd4f14" /><Relationship Type="http://schemas.openxmlformats.org/officeDocument/2006/relationships/worksheet" Target="/xl/worksheets/sheet1.xml" Id="R15dd30c7c0e24a27" /><Relationship Type="http://schemas.openxmlformats.org/officeDocument/2006/relationships/worksheet" Target="/xl/worksheets/sheet2.xml" Id="R2980eabcb8e448f0" /><Relationship Type="http://schemas.openxmlformats.org/officeDocument/2006/relationships/worksheet" Target="/xl/worksheets/sheet3.xml" Id="R7581c9a917f44619" /><Relationship Type="http://schemas.openxmlformats.org/officeDocument/2006/relationships/worksheet" Target="/xl/worksheets/sheet4.xml" Id="Rce1d1a4364844de0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4156dfd74c624751" /><Relationship Type="http://schemas.openxmlformats.org/officeDocument/2006/relationships/chart" Target="/xl/drawings/charts/chart2.xml" Id="R97276d898ecc42b9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050">
                <a:latin typeface="Arial"/>
                <a:ea typeface="Arial"/>
                <a:cs typeface="Arial"/>
              </a:rPr>
              <a:t>Purchase cost by ingredient (USD)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050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grouping val="clustered"/>
        <c:varyColors val="0"/>
        <c:ser>
          <c:idx val="0"/>
          <c:order val="0"/>
          <c:tx>
            <c:v>Purchase cost (USD)</c:v>
          </c:tx>
          <c:spPr>
            <a:solidFill xmlns:a="http://schemas.openxmlformats.org/drawingml/2006/main">
              <a:srgbClr val="577D9F"/>
            </a:solidFill>
          </c:spPr>
          <c:cat>
            <c:strRef>
              <c:f>'Dashboard'!$A$14:$A$18</c:f>
              <c:strCache>
                <c:ptCount val="0"/>
              </c:strCache>
            </c:strRef>
          </c:cat>
          <c:val>
            <c:numRef>
              <c:f>'Dashboard'!$B$14:$B$18</c:f>
              <c:numCache>
                <c:formatCode>"$"#,##0.00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$0.0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050">
                <a:latin typeface="Arial"/>
                <a:ea typeface="Arial"/>
                <a:cs typeface="Arial"/>
              </a:rPr>
              <a:t>Share of used-ingredient cost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050">
              <a:latin typeface="Arial"/>
              <a:ea typeface="Arial"/>
              <a:cs typeface="Arial"/>
            </a:defRPr>
          </a:pPr>
        </a:p>
      </c:txPr>
    </c:title>
    <c:plotArea>
      <c:doughnutChart>
        <c:ser>
          <c:idx val="0"/>
          <c:order val="0"/>
          <c:tx>
            <c:v>Used-ingredient cost (USD)</c:v>
          </c:tx>
          <c:cat>
            <c:strRef>
              <c:f>'Dashboard'!$A$14:$A$18</c:f>
              <c:strCache>
                <c:ptCount val="0"/>
              </c:strCache>
            </c:strRef>
          </c:cat>
          <c:val>
            <c:numRef>
              <c:f>'Dashboard'!$C$14:$C$18</c:f>
              <c:numCache>
                <c:formatCode>"$"#,##0.00</c:formatCode>
                <c:ptCount val="0"/>
              </c:numCache>
            </c:numRef>
          </c:val>
        </c:ser>
      </c:doughnutChart>
    </c:plotArea>
    <c:legend>
      <c:legendPos val="r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825"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4</xdr:col>
      <xdr:colOff>0</xdr:colOff>
      <xdr:row>2</xdr:row>
      <xdr:rowOff>0</xdr:rowOff>
    </xdr:from>
    <xdr:to>
      <xdr:col>14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156dfd74c624751"/>
        </a:graphicData>
      </a:graphic>
    </xdr:graphicFrame>
    <xdr:clientData/>
  </xdr:twoCellAnchor>
  <xdr:twoCellAnchor>
    <xdr:from>
      <xdr:col>4</xdr:col>
      <xdr:colOff>0</xdr:colOff>
      <xdr:row>19</xdr:row>
      <xdr:rowOff>0</xdr:rowOff>
    </xdr:from>
    <xdr:to>
      <xdr:col>14</xdr:col>
      <xdr:colOff>0</xdr:colOff>
      <xdr:row>35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7276d898ecc42b9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IngredientsTable" displayName="IngredientsTable" ref="A6:G11" headerRowCount="1" totalsRowCount="0" totalsRowShown="0">
  <x:autoFilter ref="A6:G11"/>
  <x:tableColumns count="7">
    <x:tableColumn id="1" name="Ingredient"/>
    <x:tableColumn id="2" name="Base quantity for 2 servings (g)"/>
    <x:tableColumn id="3" name="Stock available (g)"/>
    <x:tableColumn id="4" name="Package size (g)"/>
    <x:tableColumn id="5" name="Package price (USD)"/>
    <x:tableColumn id="6" name="Required quantity (g)"/>
    <x:tableColumn id="7" name="Used-ingredient cost (USD)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bb3c6077b2047d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1.xml" Id="R50a4a9542f9a42c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18" hidden="0" customWidth="1"/>
  </x:cols>
  <x:sheetData>
    <x:row r="1" ht="23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</x:row>
    <x:row r="2" ht="23" customHeight="1">
      <x:c r="A2" s="2" t="str">
        <x:v>Carbonara meal setup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</x:row>
    <x:row r="3" ht="23" customHeight="1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</x:row>
    <x:row r="4" ht="48" customHeight="1">
      <x:c r="A4" s="7" t="str">
        <x:v>Setting</x:v>
      </x:c>
      <x:c r="B4" s="7" t="str">
        <x:v>Value</x:v>
      </x:c>
      <x:c r="C4" s="1"/>
      <x:c r="D4" s="1"/>
      <x:c r="E4" s="1"/>
      <x:c r="F4" s="1"/>
      <x:c r="G4" s="1"/>
      <x:c r="H4" s="1"/>
      <x:c r="I4" s="1"/>
      <x:c r="J4" s="1"/>
      <x:c r="K4" s="1"/>
      <x:c r="L4" s="1"/>
    </x:row>
    <x:row r="5" ht="23" customHeight="1">
      <x:c r="A5" s="1" t="str">
        <x:v>Base servings</x:v>
      </x:c>
      <x:c r="B5" s="9" t="n">
        <x:v>2</x:v>
      </x:c>
      <x:c r="C5" s="1"/>
      <x:c r="D5" s="1"/>
      <x:c r="E5" s="1"/>
      <x:c r="F5" s="1"/>
      <x:c r="G5" s="1"/>
      <x:c r="H5" s="1"/>
      <x:c r="I5" s="1"/>
      <x:c r="J5" s="1"/>
      <x:c r="K5" s="1"/>
      <x:c r="L5" s="1"/>
    </x:row>
    <x:row r="6" ht="23" customHeight="1">
      <x:c r="A6" s="1" t="str">
        <x:v>Desired servings</x:v>
      </x:c>
      <x:c r="B6" s="10" t="n">
        <x:v>6</x:v>
      </x:c>
      <x:c r="C6" s="1"/>
      <x:c r="D6" s="1"/>
      <x:c r="E6" s="1"/>
      <x:c r="F6" s="1"/>
      <x:c r="G6" s="1"/>
      <x:c r="H6" s="1"/>
      <x:c r="I6" s="1"/>
      <x:c r="J6" s="1"/>
      <x:c r="K6" s="1"/>
      <x:c r="L6" s="1"/>
    </x:row>
    <x:row r="7" ht="23" customHeight="1">
      <x:c r="A7" s="1" t="str">
        <x:v>Shopping budget (USD)</x:v>
      </x:c>
      <x:c r="B7" s="11" t="n">
        <x:v>20</x:v>
      </x:c>
      <x:c r="C7" s="1"/>
      <x:c r="D7" s="1"/>
      <x:c r="E7" s="1"/>
      <x:c r="F7" s="1"/>
      <x:c r="G7" s="1"/>
      <x:c r="H7" s="1"/>
      <x:c r="I7" s="1"/>
      <x:c r="J7" s="1"/>
      <x:c r="K7" s="1"/>
      <x:c r="L7" s="1"/>
    </x:row>
    <x:row r="8" ht="23" customHeight="1">
      <x:c r="A8" s="1"/>
      <x:c r="B8" s="1"/>
      <x:c r="C8" s="1"/>
      <x:c r="D8" s="1"/>
      <x:c r="E8" s="1"/>
      <x:c r="F8" s="1"/>
      <x:c r="G8" s="1"/>
      <x:c r="H8" s="1"/>
      <x:c r="I8" s="1"/>
      <x:c r="J8" s="1"/>
      <x:c r="K8" s="1"/>
      <x:c r="L8" s="1"/>
    </x:row>
    <x:row r="9" ht="23" customHeight="1">
      <x:c r="A9" s="1" t="str">
        <x:v>Yellow cells are editable planning inputs.</x:v>
      </x:c>
      <x:c r="B9" s="1"/>
      <x:c r="C9" s="1"/>
      <x:c r="D9" s="1"/>
      <x:c r="E9" s="1"/>
      <x:c r="F9" s="1"/>
      <x:c r="G9" s="1"/>
      <x:c r="H9" s="1"/>
      <x:c r="I9" s="1"/>
      <x:c r="J9" s="1"/>
      <x:c r="K9" s="1"/>
      <x:c r="L9" s="1"/>
    </x:row>
    <x:row r="10" ht="23" customHeight="1">
      <x:c r="A10" s="1" t="str">
        <x:v>Desired servings: whole numbers 1–20. Budget: zero or more.</x:v>
      </x:c>
      <x:c r="B10" s="1"/>
      <x:c r="C10" s="1"/>
      <x:c r="D10" s="1"/>
      <x:c r="E10" s="1"/>
      <x:c r="F10" s="1"/>
      <x:c r="G10" s="1"/>
      <x:c r="H10" s="1"/>
      <x:c r="I10" s="1"/>
      <x:c r="J10" s="1"/>
      <x:c r="K10" s="1"/>
      <x:c r="L10" s="1"/>
    </x:row>
    <x:row r="11" ht="23" customHeight="1">
      <x:c r="A11" s="1"/>
      <x:c r="B11" s="1"/>
      <x:c r="C11" s="1"/>
      <x:c r="D11" s="1"/>
      <x:c r="E11" s="1"/>
      <x:c r="F11" s="1"/>
      <x:c r="G11" s="1"/>
      <x:c r="H11" s="1"/>
      <x:c r="I11" s="1"/>
      <x:c r="J11" s="1"/>
      <x:c r="K11" s="1"/>
      <x:c r="L11" s="1"/>
    </x:row>
    <x:row r="12" ht="23" customHeight="1">
      <x:c r="A12" s="1"/>
      <x:c r="B12" s="1"/>
      <x:c r="C12" s="1"/>
      <x:c r="D12" s="1"/>
      <x:c r="E12" s="1"/>
      <x:c r="F12" s="1"/>
      <x:c r="G12" s="1"/>
      <x:c r="H12" s="1"/>
      <x:c r="I12" s="1"/>
      <x:c r="J12" s="1"/>
      <x:c r="K12" s="1"/>
      <x:c r="L12" s="1"/>
    </x:row>
    <x:row r="13" ht="23" customHeight="1">
      <x:c r="A13" s="1"/>
      <x:c r="B13" s="1"/>
      <x:c r="C13" s="1"/>
      <x:c r="D13" s="1"/>
      <x:c r="E13" s="1"/>
      <x:c r="F13" s="1"/>
      <x:c r="G13" s="1"/>
      <x:c r="H13" s="1"/>
      <x:c r="I13" s="1"/>
      <x:c r="J13" s="1"/>
      <x:c r="K13" s="1"/>
      <x:c r="L13" s="1"/>
    </x:row>
    <x:row r="14" ht="23" customHeight="1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  <x:c r="L14" s="1"/>
    </x:row>
    <x:row r="15" ht="23" customHeight="1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</x:row>
    <x:row r="16" ht="23" customHeight="1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</x:row>
    <x:row r="17" ht="23" customHeight="1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</x:row>
    <x:row r="18" ht="23" customHeight="1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</x:row>
    <x:row r="19" ht="23" customHeight="1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</x:row>
    <x:row r="20" ht="23" customHeight="1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</x:row>
    <x:row r="21" ht="23" customHeight="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</x:row>
    <x:row r="22" ht="23" customHeight="1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</x:row>
    <x:row r="23" ht="23" customHeight="1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</x:row>
    <x:row r="24" ht="23" customHeight="1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</x:row>
    <x:row r="25" ht="23" customHeight="1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</x:row>
    <x:row r="26" ht="23" customHeight="1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</x:row>
    <x:row r="27" ht="23" customHeight="1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</x:row>
    <x:row r="28" ht="23" customHeight="1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</x:row>
    <x:row r="29" ht="23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</x:row>
    <x:row r="30" ht="23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</x:row>
    <x:row r="31" ht="23" customHeight="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</x:row>
    <x:row r="32" ht="23" customHeight="1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</x:row>
    <x:row r="33" ht="23" customHeight="1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</x:row>
    <x:row r="34" ht="23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</x:row>
    <x:row r="35" ht="23" customHeight="1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</x:row>
  </x:sheetData>
  <x:dataValidations count="2">
    <x:dataValidation type="whole" operator="between" sqref="B6">
      <x:formula1>1</x:formula1>
      <x:formula2>20</x:formula2>
    </x:dataValidation>
    <x:dataValidation type="decimal" operator="greaterThanOrEqual" sqref="B7">
      <x:formula1>0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25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</x:cols>
  <x:sheetData>
    <x:row r="1" ht="23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</x:row>
    <x:row r="2" ht="23" customHeight="1">
      <x:c r="A2" s="2" t="str">
        <x:v>Carbonara ingredients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</x:row>
    <x:row r="3" ht="23" customHeight="1">
      <x:c r="A3" s="1" t="str">
        <x:v>Source: user-supplied illustrative quantities and prices. All quantities are grams.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</x:row>
    <x:row r="4" ht="23" customHeight="1">
      <x:c r="A4" s="1" t="str">
        <x:v>Egg yolks exclude shells and egg whites. Yellow cells are editable recipe and shopping data.</x:v>
      </x:c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</x:row>
    <x:row r="5" ht="23" customHeight="1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</x:row>
    <x:row r="6" ht="48" customHeight="1">
      <x:c r="A6" s="7" t="str">
        <x:v>Ingredient</x:v>
      </x:c>
      <x:c r="B6" s="7" t="str">
        <x:v>Base quantity for 2 servings (g)</x:v>
      </x:c>
      <x:c r="C6" s="7" t="str">
        <x:v>Stock available (g)</x:v>
      </x:c>
      <x:c r="D6" s="7" t="str">
        <x:v>Package size (g)</x:v>
      </x:c>
      <x:c r="E6" s="7" t="str">
        <x:v>Package price (USD)</x:v>
      </x:c>
      <x:c r="F6" s="7" t="str">
        <x:v>Required quantity (g)</x:v>
      </x:c>
      <x:c r="G6" s="7" t="str">
        <x:v>Used-ingredient cost (USD)</x:v>
      </x:c>
      <x:c r="H6" s="1"/>
      <x:c r="I6" s="1"/>
      <x:c r="J6" s="1"/>
      <x:c r="K6" s="1"/>
      <x:c r="L6" s="1"/>
    </x:row>
    <x:row r="7" ht="23" customHeight="1">
      <x:c r="A7" s="1" t="str">
        <x:v>Spaghetti (dry)</x:v>
      </x:c>
      <x:c r="B7" s="12" t="n">
        <x:v>200</x:v>
      </x:c>
      <x:c r="C7" s="12" t="n">
        <x:v>100</x:v>
      </x:c>
      <x:c r="D7" s="12" t="n">
        <x:v>500</x:v>
      </x:c>
      <x:c r="E7" s="11" t="n">
        <x:v>2.5</x:v>
      </x:c>
      <x:c r="F7" s="13" t="n">
        <x:f>B7*'Setup'!$B$6/'Setup'!$B$5</x:f>
        <x:v>600</x:v>
      </x:c>
      <x:c r="G7" s="14" t="n">
        <x:f>F7/D7*E7</x:f>
        <x:v>3</x:v>
      </x:c>
      <x:c r="H7" s="1"/>
      <x:c r="I7" s="1"/>
      <x:c r="J7" s="1"/>
      <x:c r="K7" s="1"/>
      <x:c r="L7" s="1"/>
    </x:row>
    <x:row r="8" ht="23" customHeight="1">
      <x:c r="A8" s="1" t="str">
        <x:v>Guanciale</x:v>
      </x:c>
      <x:c r="B8" s="12" t="n">
        <x:v>80</x:v>
      </x:c>
      <x:c r="C8" s="12" t="n">
        <x:v>20</x:v>
      </x:c>
      <x:c r="D8" s="12" t="n">
        <x:v>100</x:v>
      </x:c>
      <x:c r="E8" s="11" t="n">
        <x:v>4</x:v>
      </x:c>
      <x:c r="F8" s="13" t="n">
        <x:f>B8*'Setup'!$B$6/'Setup'!$B$5</x:f>
        <x:v>240</x:v>
      </x:c>
      <x:c r="G8" s="14" t="n">
        <x:f>F8/D8*E8</x:f>
        <x:v>9.6</x:v>
      </x:c>
      <x:c r="H8" s="1"/>
      <x:c r="I8" s="1"/>
      <x:c r="J8" s="1"/>
      <x:c r="K8" s="1"/>
      <x:c r="L8" s="1"/>
    </x:row>
    <x:row r="9" ht="23" customHeight="1">
      <x:c r="A9" s="1" t="str">
        <x:v>Egg yolks</x:v>
      </x:c>
      <x:c r="B9" s="12" t="n">
        <x:v>36</x:v>
      </x:c>
      <x:c r="C9" s="12" t="n">
        <x:v>0</x:v>
      </x:c>
      <x:c r="D9" s="12" t="n">
        <x:v>36</x:v>
      </x:c>
      <x:c r="E9" s="11" t="n">
        <x:v>0.54</x:v>
      </x:c>
      <x:c r="F9" s="13" t="n">
        <x:f>B9*'Setup'!$B$6/'Setup'!$B$5</x:f>
        <x:v>108</x:v>
      </x:c>
      <x:c r="G9" s="14" t="n">
        <x:f>F9/D9*E9</x:f>
        <x:v>1.62</x:v>
      </x:c>
      <x:c r="H9" s="1"/>
      <x:c r="I9" s="1"/>
      <x:c r="J9" s="1"/>
      <x:c r="K9" s="1"/>
      <x:c r="L9" s="1"/>
    </x:row>
    <x:row r="10" ht="23" customHeight="1">
      <x:c r="A10" s="1" t="str">
        <x:v>Pecorino Romano</x:v>
      </x:c>
      <x:c r="B10" s="12" t="n">
        <x:v>40</x:v>
      </x:c>
      <x:c r="C10" s="12" t="n">
        <x:v>10</x:v>
      </x:c>
      <x:c r="D10" s="12" t="n">
        <x:v>100</x:v>
      </x:c>
      <x:c r="E10" s="11" t="n">
        <x:v>3.5</x:v>
      </x:c>
      <x:c r="F10" s="13" t="n">
        <x:f>B10*'Setup'!$B$6/'Setup'!$B$5</x:f>
        <x:v>120</x:v>
      </x:c>
      <x:c r="G10" s="14" t="n">
        <x:f>F10/D10*E10</x:f>
        <x:v>4.2</x:v>
      </x:c>
      <x:c r="H10" s="1"/>
      <x:c r="I10" s="1"/>
      <x:c r="J10" s="1"/>
      <x:c r="K10" s="1"/>
      <x:c r="L10" s="1"/>
    </x:row>
    <x:row r="11" ht="23" customHeight="1">
      <x:c r="A11" s="1" t="str">
        <x:v>Black pepper</x:v>
      </x:c>
      <x:c r="B11" s="12" t="n">
        <x:v>1</x:v>
      </x:c>
      <x:c r="C11" s="12" t="n">
        <x:v>2</x:v>
      </x:c>
      <x:c r="D11" s="12" t="n">
        <x:v>50</x:v>
      </x:c>
      <x:c r="E11" s="11" t="n">
        <x:v>2.5</x:v>
      </x:c>
      <x:c r="F11" s="13" t="n">
        <x:f>B11*'Setup'!$B$6/'Setup'!$B$5</x:f>
        <x:v>3</x:v>
      </x:c>
      <x:c r="G11" s="14" t="n">
        <x:f>F11/D11*E11</x:f>
        <x:v>0.15</x:v>
      </x:c>
      <x:c r="H11" s="1"/>
      <x:c r="I11" s="1"/>
      <x:c r="J11" s="1"/>
      <x:c r="K11" s="1"/>
      <x:c r="L11" s="1"/>
    </x:row>
    <x:row r="12" ht="23" customHeight="1">
      <x:c r="A12" s="1"/>
      <x:c r="B12" s="1"/>
      <x:c r="C12" s="1"/>
      <x:c r="D12" s="1"/>
      <x:c r="E12" s="1"/>
      <x:c r="F12" s="1"/>
      <x:c r="G12" s="1"/>
      <x:c r="H12" s="1"/>
      <x:c r="I12" s="1"/>
      <x:c r="J12" s="1"/>
      <x:c r="K12" s="1"/>
      <x:c r="L12" s="1"/>
    </x:row>
    <x:row r="13" ht="23" customHeight="1">
      <x:c r="A13" s="1"/>
      <x:c r="B13" s="1"/>
      <x:c r="C13" s="1"/>
      <x:c r="D13" s="1"/>
      <x:c r="E13" s="1"/>
      <x:c r="F13" s="1"/>
      <x:c r="G13" s="1"/>
      <x:c r="H13" s="1"/>
      <x:c r="I13" s="1"/>
      <x:c r="J13" s="1"/>
      <x:c r="K13" s="1"/>
      <x:c r="L13" s="1"/>
    </x:row>
    <x:row r="14" ht="23" customHeight="1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  <x:c r="L14" s="1"/>
    </x:row>
    <x:row r="15" ht="23" customHeight="1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</x:row>
    <x:row r="16" ht="23" customHeight="1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</x:row>
    <x:row r="17" ht="23" customHeight="1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</x:row>
    <x:row r="18" ht="23" customHeight="1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</x:row>
    <x:row r="19" ht="23" customHeight="1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</x:row>
    <x:row r="20" ht="23" customHeight="1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</x:row>
    <x:row r="21" ht="23" customHeight="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</x:row>
    <x:row r="22" ht="23" customHeight="1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</x:row>
    <x:row r="23" ht="23" customHeight="1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</x:row>
    <x:row r="24" ht="23" customHeight="1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</x:row>
    <x:row r="25" ht="23" customHeight="1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</x:row>
    <x:row r="26" ht="23" customHeight="1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</x:row>
    <x:row r="27" ht="23" customHeight="1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</x:row>
    <x:row r="28" ht="23" customHeight="1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</x:row>
    <x:row r="29" ht="23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</x:row>
    <x:row r="30" ht="23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</x:row>
    <x:row r="31" ht="23" customHeight="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</x:row>
    <x:row r="32" ht="23" customHeight="1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</x:row>
    <x:row r="33" ht="23" customHeight="1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</x:row>
    <x:row r="34" ht="23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</x:row>
    <x:row r="35" ht="23" customHeight="1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</x:row>
  </x:sheetData>
  <x:pageMargins left="0.7" right="0.7" top="0.75" bottom="0.75" header="0.3" footer="0.3"/>
  <x:tableParts count="1">
    <x:tablePart xmlns:r="http://schemas.openxmlformats.org/officeDocument/2006/relationships" r:id="Rdbb3c6077b2047d9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25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</x:cols>
  <x:sheetData>
    <x:row r="1" ht="23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</x:row>
    <x:row r="2" ht="23" customHeight="1">
      <x:c r="A2" s="2" t="str">
        <x:v>Carbonara shopping list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</x:row>
    <x:row r="3" ht="23" customHeight="1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</x:row>
    <x:row r="4" ht="23" customHeight="1">
      <x:c r="A4" s="1" t="str">
        <x:v>Desired servings</x:v>
      </x:c>
      <x:c r="B4" s="1" t="n">
        <x:f>'Setup'!B6</x:f>
        <x:v>6</x:v>
      </x:c>
      <x:c r="C4" s="1"/>
      <x:c r="D4" s="1"/>
      <x:c r="E4" s="1"/>
      <x:c r="F4" s="1"/>
      <x:c r="G4" s="1"/>
      <x:c r="H4" s="1"/>
      <x:c r="I4" s="1"/>
      <x:c r="J4" s="1"/>
      <x:c r="K4" s="1"/>
      <x:c r="L4" s="1"/>
    </x:row>
    <x:row r="5" ht="23" customHeight="1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</x:row>
    <x:row r="6" ht="48" customHeight="1">
      <x:c r="A6" s="7" t="str">
        <x:v>Ingredient</x:v>
      </x:c>
      <x:c r="B6" s="7" t="str">
        <x:v>Required (g)</x:v>
      </x:c>
      <x:c r="C6" s="7" t="str">
        <x:v>Available stock (g)</x:v>
      </x:c>
      <x:c r="D6" s="7" t="str">
        <x:v>Additional needed (g)</x:v>
      </x:c>
      <x:c r="E6" s="7" t="str">
        <x:v>Package size (g)</x:v>
      </x:c>
      <x:c r="F6" s="7" t="str">
        <x:v>Whole packages to buy</x:v>
      </x:c>
      <x:c r="G6" s="7" t="str">
        <x:v>Price per package (USD)</x:v>
      </x:c>
      <x:c r="H6" s="7" t="str">
        <x:v>Purchase cost (USD)</x:v>
      </x:c>
      <x:c r="I6" s="7" t="str">
        <x:v>Stock after cooking (g)</x:v>
      </x:c>
      <x:c r="J6" s="7" t="str">
        <x:v>Used-ingredient cost (USD)</x:v>
      </x:c>
      <x:c r="K6" s="1"/>
      <x:c r="L6" s="1"/>
    </x:row>
    <x:row r="7" ht="23" customHeight="1">
      <x:c r="A7" s="1" t="str">
        <x:f>'Ingredients'!A7</x:f>
        <x:v>Spaghetti (dry)</x:v>
      </x:c>
      <x:c r="B7" s="13" t="n">
        <x:f>'Ingredients'!F7</x:f>
        <x:v>600</x:v>
      </x:c>
      <x:c r="C7" s="13" t="n">
        <x:f>'Ingredients'!C7</x:f>
        <x:v>100</x:v>
      </x:c>
      <x:c r="D7" s="13" t="n">
        <x:f>MAX(B7-C7,0)</x:f>
        <x:v>500</x:v>
      </x:c>
      <x:c r="E7" s="13" t="n">
        <x:f>'Ingredients'!D7</x:f>
        <x:v>500</x:v>
      </x:c>
      <x:c r="F7" s="13" t="n">
        <x:f>ROUNDUP(D7/E7,0)</x:f>
        <x:v>1</x:v>
      </x:c>
      <x:c r="G7" s="14" t="n">
        <x:f>'Ingredients'!E7</x:f>
        <x:v>2.5</x:v>
      </x:c>
      <x:c r="H7" s="14" t="n">
        <x:f>F7*G7</x:f>
        <x:v>2.5</x:v>
      </x:c>
      <x:c r="I7" s="13" t="n">
        <x:f>C7+F7*E7-B7</x:f>
        <x:v>0</x:v>
      </x:c>
      <x:c r="J7" s="14" t="n">
        <x:f>'Ingredients'!G7</x:f>
        <x:v>3</x:v>
      </x:c>
      <x:c r="K7" s="1"/>
      <x:c r="L7" s="1"/>
    </x:row>
    <x:row r="8" ht="23" customHeight="1">
      <x:c r="A8" s="1" t="str">
        <x:f>'Ingredients'!A8</x:f>
        <x:v>Guanciale</x:v>
      </x:c>
      <x:c r="B8" s="13" t="n">
        <x:f>'Ingredients'!F8</x:f>
        <x:v>240</x:v>
      </x:c>
      <x:c r="C8" s="13" t="n">
        <x:f>'Ingredients'!C8</x:f>
        <x:v>20</x:v>
      </x:c>
      <x:c r="D8" s="13" t="n">
        <x:f>MAX(B8-C8,0)</x:f>
        <x:v>220</x:v>
      </x:c>
      <x:c r="E8" s="13" t="n">
        <x:f>'Ingredients'!D8</x:f>
        <x:v>100</x:v>
      </x:c>
      <x:c r="F8" s="13" t="n">
        <x:f>ROUNDUP(D8/E8,0)</x:f>
        <x:v>3</x:v>
      </x:c>
      <x:c r="G8" s="14" t="n">
        <x:f>'Ingredients'!E8</x:f>
        <x:v>4</x:v>
      </x:c>
      <x:c r="H8" s="14" t="n">
        <x:f>F8*G8</x:f>
        <x:v>12</x:v>
      </x:c>
      <x:c r="I8" s="13" t="n">
        <x:f>C8+F8*E8-B8</x:f>
        <x:v>80</x:v>
      </x:c>
      <x:c r="J8" s="14" t="n">
        <x:f>'Ingredients'!G8</x:f>
        <x:v>9.6</x:v>
      </x:c>
      <x:c r="K8" s="1"/>
      <x:c r="L8" s="1"/>
    </x:row>
    <x:row r="9" ht="23" customHeight="1">
      <x:c r="A9" s="1" t="str">
        <x:f>'Ingredients'!A9</x:f>
        <x:v>Egg yolks</x:v>
      </x:c>
      <x:c r="B9" s="13" t="n">
        <x:f>'Ingredients'!F9</x:f>
        <x:v>108</x:v>
      </x:c>
      <x:c r="C9" s="13" t="n">
        <x:f>'Ingredients'!C9</x:f>
        <x:v>0</x:v>
      </x:c>
      <x:c r="D9" s="13" t="n">
        <x:f>MAX(B9-C9,0)</x:f>
        <x:v>108</x:v>
      </x:c>
      <x:c r="E9" s="13" t="n">
        <x:f>'Ingredients'!D9</x:f>
        <x:v>36</x:v>
      </x:c>
      <x:c r="F9" s="13" t="n">
        <x:f>ROUNDUP(D9/E9,0)</x:f>
        <x:v>3</x:v>
      </x:c>
      <x:c r="G9" s="14" t="n">
        <x:f>'Ingredients'!E9</x:f>
        <x:v>0.54</x:v>
      </x:c>
      <x:c r="H9" s="14" t="n">
        <x:f>F9*G9</x:f>
        <x:v>1.62</x:v>
      </x:c>
      <x:c r="I9" s="13" t="n">
        <x:f>C9+F9*E9-B9</x:f>
        <x:v>0</x:v>
      </x:c>
      <x:c r="J9" s="14" t="n">
        <x:f>'Ingredients'!G9</x:f>
        <x:v>1.62</x:v>
      </x:c>
      <x:c r="K9" s="1"/>
      <x:c r="L9" s="1"/>
    </x:row>
    <x:row r="10" ht="23" customHeight="1">
      <x:c r="A10" s="1" t="str">
        <x:f>'Ingredients'!A10</x:f>
        <x:v>Pecorino Romano</x:v>
      </x:c>
      <x:c r="B10" s="13" t="n">
        <x:f>'Ingredients'!F10</x:f>
        <x:v>120</x:v>
      </x:c>
      <x:c r="C10" s="13" t="n">
        <x:f>'Ingredients'!C10</x:f>
        <x:v>10</x:v>
      </x:c>
      <x:c r="D10" s="13" t="n">
        <x:f>MAX(B10-C10,0)</x:f>
        <x:v>110</x:v>
      </x:c>
      <x:c r="E10" s="13" t="n">
        <x:f>'Ingredients'!D10</x:f>
        <x:v>100</x:v>
      </x:c>
      <x:c r="F10" s="13" t="n">
        <x:f>ROUNDUP(D10/E10,0)</x:f>
        <x:v>2</x:v>
      </x:c>
      <x:c r="G10" s="14" t="n">
        <x:f>'Ingredients'!E10</x:f>
        <x:v>3.5</x:v>
      </x:c>
      <x:c r="H10" s="14" t="n">
        <x:f>F10*G10</x:f>
        <x:v>7</x:v>
      </x:c>
      <x:c r="I10" s="13" t="n">
        <x:f>C10+F10*E10-B10</x:f>
        <x:v>90</x:v>
      </x:c>
      <x:c r="J10" s="14" t="n">
        <x:f>'Ingredients'!G10</x:f>
        <x:v>4.2</x:v>
      </x:c>
      <x:c r="K10" s="1"/>
      <x:c r="L10" s="1"/>
    </x:row>
    <x:row r="11" ht="23" customHeight="1">
      <x:c r="A11" s="1" t="str">
        <x:f>'Ingredients'!A11</x:f>
        <x:v>Black pepper</x:v>
      </x:c>
      <x:c r="B11" s="13" t="n">
        <x:f>'Ingredients'!F11</x:f>
        <x:v>3</x:v>
      </x:c>
      <x:c r="C11" s="13" t="n">
        <x:f>'Ingredients'!C11</x:f>
        <x:v>2</x:v>
      </x:c>
      <x:c r="D11" s="13" t="n">
        <x:f>MAX(B11-C11,0)</x:f>
        <x:v>1</x:v>
      </x:c>
      <x:c r="E11" s="13" t="n">
        <x:f>'Ingredients'!D11</x:f>
        <x:v>50</x:v>
      </x:c>
      <x:c r="F11" s="13" t="n">
        <x:f>ROUNDUP(D11/E11,0)</x:f>
        <x:v>1</x:v>
      </x:c>
      <x:c r="G11" s="14" t="n">
        <x:f>'Ingredients'!E11</x:f>
        <x:v>2.5</x:v>
      </x:c>
      <x:c r="H11" s="14" t="n">
        <x:f>F11*G11</x:f>
        <x:v>2.5</x:v>
      </x:c>
      <x:c r="I11" s="13" t="n">
        <x:f>C11+F11*E11-B11</x:f>
        <x:v>49</x:v>
      </x:c>
      <x:c r="J11" s="14" t="n">
        <x:f>'Ingredients'!G11</x:f>
        <x:v>0.15</x:v>
      </x:c>
      <x:c r="K11" s="1"/>
      <x:c r="L11" s="1"/>
    </x:row>
    <x:row r="12" ht="23" customHeight="1">
      <x:c r="A12" s="1"/>
      <x:c r="B12" s="1"/>
      <x:c r="C12" s="1"/>
      <x:c r="D12" s="1"/>
      <x:c r="E12" s="1"/>
      <x:c r="F12" s="1"/>
      <x:c r="G12" s="14"/>
      <x:c r="H12" s="14"/>
      <x:c r="I12" s="1"/>
      <x:c r="J12" s="14"/>
      <x:c r="K12" s="1"/>
      <x:c r="L12" s="1"/>
    </x:row>
    <x:row r="13" ht="23" customHeight="1">
      <x:c r="A13" s="15" t="str">
        <x:v>Totals (USD)</x:v>
      </x:c>
      <x:c r="B13" s="15"/>
      <x:c r="C13" s="15"/>
      <x:c r="D13" s="15"/>
      <x:c r="E13" s="15"/>
      <x:c r="F13" s="15"/>
      <x:c r="G13" s="16"/>
      <x:c r="H13" s="16" t="n">
        <x:f>SUM(H7:H11)</x:f>
        <x:v>25.62</x:v>
      </x:c>
      <x:c r="I13" s="15"/>
      <x:c r="J13" s="16" t="n">
        <x:f>SUM(J7:J11)</x:f>
        <x:v>18.569999999999997</x:v>
      </x:c>
      <x:c r="K13" s="1"/>
      <x:c r="L13" s="1"/>
    </x:row>
    <x:row r="14" ht="23" customHeight="1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  <x:c r="L14" s="1"/>
    </x:row>
    <x:row r="15" ht="23" customHeight="1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</x:row>
    <x:row r="16" ht="23" customHeight="1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</x:row>
    <x:row r="17" ht="23" customHeight="1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</x:row>
    <x:row r="18" ht="23" customHeight="1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</x:row>
    <x:row r="19" ht="23" customHeight="1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</x:row>
    <x:row r="20" ht="23" customHeight="1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</x:row>
    <x:row r="21" ht="23" customHeight="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</x:row>
    <x:row r="22" ht="23" customHeight="1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</x:row>
    <x:row r="23" ht="23" customHeight="1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</x:row>
    <x:row r="24" ht="23" customHeight="1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</x:row>
    <x:row r="25" ht="23" customHeight="1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</x:row>
    <x:row r="26" ht="23" customHeight="1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</x:row>
    <x:row r="27" ht="23" customHeight="1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</x:row>
    <x:row r="28" ht="23" customHeight="1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</x:row>
    <x:row r="29" ht="23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</x:row>
    <x:row r="30" ht="23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</x:row>
    <x:row r="31" ht="23" customHeight="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</x:row>
    <x:row r="32" ht="23" customHeight="1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</x:row>
    <x:row r="33" ht="23" customHeight="1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</x:row>
    <x:row r="34" ht="23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</x:row>
    <x:row r="35" ht="23" customHeight="1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</x:row>
  </x:sheetData>
  <x:conditionalFormatting sqref="A7:J11">
    <x:cfRule type="expression" dxfId="0" priority="1">
      <x:formula>$F7&gt;0</x:formula>
    </x:cfRule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33465B"/>
  </x:sheetPr>
  <x:sheetViews>
    <x:sheetView showGridLines="0" workbookViewId="0"/>
  </x:sheetViews>
  <x:sheetFormatPr defaultRowHeight="15"/>
  <x:cols>
    <x:col min="1" max="1" width="37" hidden="0" customWidth="1"/>
    <x:col min="2" max="2" width="20" hidden="0" customWidth="1"/>
    <x:col min="3" max="3" width="24" hidden="0" customWidth="1"/>
  </x:cols>
  <x:sheetData>
    <x:row r="1" ht="23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</x:row>
    <x:row r="2" ht="23" customHeight="1">
      <x:c r="A2" s="2" t="str">
        <x:v>Carbonara cost dashboard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</x:row>
    <x:row r="3" ht="23" customHeight="1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</x:row>
    <x:row r="4" ht="23" customHeight="1">
      <x:c r="A4" s="1" t="str">
        <x:v>Desired servings</x:v>
      </x:c>
      <x:c r="B4" s="17" t="n">
        <x:f>'Setup'!B6</x:f>
        <x:v>6</x:v>
      </x:c>
      <x:c r="C4" s="1"/>
      <x:c r="D4" s="1"/>
      <x:c r="E4" s="1"/>
      <x:c r="F4" s="1"/>
      <x:c r="G4" s="1"/>
      <x:c r="H4" s="1"/>
      <x:c r="I4" s="1"/>
      <x:c r="J4" s="1"/>
      <x:c r="K4" s="1"/>
      <x:c r="L4" s="1"/>
    </x:row>
    <x:row r="5" ht="23" customHeight="1">
      <x:c r="A5" s="1" t="str">
        <x:v>Total used-ingredient cost</x:v>
      </x:c>
      <x:c r="B5" s="16" t="n">
        <x:f>'ShoppingList'!J13</x:f>
        <x:v>18.569999999999997</x:v>
      </x:c>
      <x:c r="C5" s="1"/>
      <x:c r="D5" s="1"/>
      <x:c r="E5" s="1"/>
      <x:c r="F5" s="1"/>
      <x:c r="G5" s="1"/>
      <x:c r="H5" s="1"/>
      <x:c r="I5" s="1"/>
      <x:c r="J5" s="1"/>
      <x:c r="K5" s="1"/>
      <x:c r="L5" s="1"/>
    </x:row>
    <x:row r="6" ht="23" customHeight="1">
      <x:c r="A6" s="1" t="str">
        <x:v>Used-ingredient cost per serving</x:v>
      </x:c>
      <x:c r="B6" s="16" t="n">
        <x:f>B5/B4</x:f>
        <x:v>3.0949999999999993</x:v>
      </x:c>
      <x:c r="C6" s="1"/>
      <x:c r="D6" s="1"/>
      <x:c r="E6" s="1"/>
      <x:c r="F6" s="1"/>
      <x:c r="G6" s="1"/>
      <x:c r="H6" s="1"/>
      <x:c r="I6" s="1"/>
      <x:c r="J6" s="1"/>
      <x:c r="K6" s="1"/>
      <x:c r="L6" s="1"/>
    </x:row>
    <x:row r="7" ht="23" customHeight="1">
      <x:c r="A7" s="1" t="str">
        <x:v>Total purchase cost</x:v>
      </x:c>
      <x:c r="B7" s="16" t="n">
        <x:f>'ShoppingList'!H13</x:f>
        <x:v>25.62</x:v>
      </x:c>
      <x:c r="C7" s="1"/>
      <x:c r="D7" s="1"/>
      <x:c r="E7" s="1"/>
      <x:c r="F7" s="1"/>
      <x:c r="G7" s="1"/>
      <x:c r="H7" s="1"/>
      <x:c r="I7" s="1"/>
      <x:c r="J7" s="1"/>
      <x:c r="K7" s="1"/>
      <x:c r="L7" s="1"/>
    </x:row>
    <x:row r="8" ht="23" customHeight="1">
      <x:c r="A8" s="1" t="str">
        <x:v>Shopping budget</x:v>
      </x:c>
      <x:c r="B8" s="16" t="n">
        <x:f>'Setup'!B7</x:f>
        <x:v>20</x:v>
      </x:c>
      <x:c r="C8" s="1"/>
      <x:c r="D8" s="1"/>
      <x:c r="E8" s="1"/>
      <x:c r="F8" s="1"/>
      <x:c r="G8" s="1"/>
      <x:c r="H8" s="1"/>
      <x:c r="I8" s="1"/>
      <x:c r="J8" s="1"/>
      <x:c r="K8" s="1"/>
      <x:c r="L8" s="1"/>
    </x:row>
    <x:row r="9" ht="23" customHeight="1">
      <x:c r="A9" s="1" t="str">
        <x:v>Budget remaining</x:v>
      </x:c>
      <x:c r="B9" s="16" t="n">
        <x:f>B8-B7</x:f>
        <x:v>-5.620000000000001</x:v>
      </x:c>
      <x:c r="C9" s="1"/>
      <x:c r="D9" s="1"/>
      <x:c r="E9" s="1"/>
      <x:c r="F9" s="1"/>
      <x:c r="G9" s="1"/>
      <x:c r="H9" s="1"/>
      <x:c r="I9" s="1"/>
      <x:c r="J9" s="1"/>
      <x:c r="K9" s="1"/>
      <x:c r="L9" s="1"/>
    </x:row>
    <x:row r="10" ht="23" customHeight="1">
      <x:c r="A10" s="1" t="str">
        <x:v>Budget status</x:v>
      </x:c>
      <x:c r="B10" s="15" t="str">
        <x:f>IF(B7&lt;=B8,"Within budget","Over budget")</x:f>
        <x:v>Over budget</x:v>
      </x:c>
      <x:c r="C10" s="1"/>
      <x:c r="D10" s="1"/>
      <x:c r="E10" s="1"/>
      <x:c r="F10" s="1"/>
      <x:c r="G10" s="1"/>
      <x:c r="H10" s="1"/>
      <x:c r="I10" s="1"/>
      <x:c r="J10" s="1"/>
      <x:c r="K10" s="1"/>
      <x:c r="L10" s="1"/>
    </x:row>
    <x:row r="11" ht="23" customHeight="1">
      <x:c r="A11" s="1"/>
      <x:c r="B11" s="1"/>
      <x:c r="C11" s="1"/>
      <x:c r="D11" s="1"/>
      <x:c r="E11" s="1"/>
      <x:c r="F11" s="1"/>
      <x:c r="G11" s="1"/>
      <x:c r="H11" s="1"/>
      <x:c r="I11" s="1"/>
      <x:c r="J11" s="1"/>
      <x:c r="K11" s="1"/>
      <x:c r="L11" s="1"/>
    </x:row>
    <x:row r="12" ht="23" customHeight="1">
      <x:c r="A12" s="1"/>
      <x:c r="B12" s="1"/>
      <x:c r="C12" s="1"/>
      <x:c r="D12" s="1"/>
      <x:c r="E12" s="1"/>
      <x:c r="F12" s="1"/>
      <x:c r="G12" s="1"/>
      <x:c r="H12" s="1"/>
      <x:c r="I12" s="1"/>
      <x:c r="J12" s="1"/>
      <x:c r="K12" s="1"/>
      <x:c r="L12" s="1"/>
    </x:row>
    <x:row r="13" ht="48" customHeight="1">
      <x:c r="A13" s="7" t="str">
        <x:v>Ingredient</x:v>
      </x:c>
      <x:c r="B13" s="7" t="str">
        <x:v>Purchase cost (USD)</x:v>
      </x:c>
      <x:c r="C13" s="7" t="str">
        <x:v>Used-ingredient cost (USD)</x:v>
      </x:c>
      <x:c r="D13" s="1"/>
      <x:c r="E13" s="1"/>
      <x:c r="F13" s="1"/>
      <x:c r="G13" s="1"/>
      <x:c r="H13" s="1"/>
      <x:c r="I13" s="1"/>
      <x:c r="J13" s="1"/>
      <x:c r="K13" s="1"/>
      <x:c r="L13" s="1"/>
    </x:row>
    <x:row r="14" ht="23" customHeight="1">
      <x:c r="A14" s="1" t="str">
        <x:f>'ShoppingList'!A7</x:f>
        <x:v>Spaghetti (dry)</x:v>
      </x:c>
      <x:c r="B14" s="14" t="n">
        <x:f>'ShoppingList'!H7</x:f>
        <x:v>2.5</x:v>
      </x:c>
      <x:c r="C14" s="14" t="n">
        <x:f>'ShoppingList'!J7</x:f>
        <x:v>3</x:v>
      </x:c>
      <x:c r="D14" s="1"/>
      <x:c r="E14" s="1"/>
      <x:c r="F14" s="1"/>
      <x:c r="G14" s="1"/>
      <x:c r="H14" s="1"/>
      <x:c r="I14" s="1"/>
      <x:c r="J14" s="1"/>
      <x:c r="K14" s="1"/>
      <x:c r="L14" s="1"/>
    </x:row>
    <x:row r="15" ht="23" customHeight="1">
      <x:c r="A15" s="1" t="str">
        <x:f>'ShoppingList'!A8</x:f>
        <x:v>Guanciale</x:v>
      </x:c>
      <x:c r="B15" s="14" t="n">
        <x:f>'ShoppingList'!H8</x:f>
        <x:v>12</x:v>
      </x:c>
      <x:c r="C15" s="14" t="n">
        <x:f>'ShoppingList'!J8</x:f>
        <x:v>9.6</x:v>
      </x:c>
      <x:c r="D15" s="1"/>
      <x:c r="E15" s="1"/>
      <x:c r="F15" s="1"/>
      <x:c r="G15" s="1"/>
      <x:c r="H15" s="1"/>
      <x:c r="I15" s="1"/>
      <x:c r="J15" s="1"/>
      <x:c r="K15" s="1"/>
      <x:c r="L15" s="1"/>
    </x:row>
    <x:row r="16" ht="23" customHeight="1">
      <x:c r="A16" s="1" t="str">
        <x:f>'ShoppingList'!A9</x:f>
        <x:v>Egg yolks</x:v>
      </x:c>
      <x:c r="B16" s="14" t="n">
        <x:f>'ShoppingList'!H9</x:f>
        <x:v>1.62</x:v>
      </x:c>
      <x:c r="C16" s="14" t="n">
        <x:f>'ShoppingList'!J9</x:f>
        <x:v>1.62</x:v>
      </x:c>
      <x:c r="D16" s="1"/>
      <x:c r="E16" s="1"/>
      <x:c r="F16" s="1"/>
      <x:c r="G16" s="1"/>
      <x:c r="H16" s="1"/>
      <x:c r="I16" s="1"/>
      <x:c r="J16" s="1"/>
      <x:c r="K16" s="1"/>
      <x:c r="L16" s="1"/>
    </x:row>
    <x:row r="17" ht="23" customHeight="1">
      <x:c r="A17" s="1" t="str">
        <x:f>'ShoppingList'!A10</x:f>
        <x:v>Pecorino Romano</x:v>
      </x:c>
      <x:c r="B17" s="14" t="n">
        <x:f>'ShoppingList'!H10</x:f>
        <x:v>7</x:v>
      </x:c>
      <x:c r="C17" s="14" t="n">
        <x:f>'ShoppingList'!J10</x:f>
        <x:v>4.2</x:v>
      </x:c>
      <x:c r="D17" s="1"/>
      <x:c r="E17" s="1"/>
      <x:c r="F17" s="1"/>
      <x:c r="G17" s="1"/>
      <x:c r="H17" s="1"/>
      <x:c r="I17" s="1"/>
      <x:c r="J17" s="1"/>
      <x:c r="K17" s="1"/>
      <x:c r="L17" s="1"/>
    </x:row>
    <x:row r="18" ht="23" customHeight="1">
      <x:c r="A18" s="1" t="str">
        <x:f>'ShoppingList'!A11</x:f>
        <x:v>Black pepper</x:v>
      </x:c>
      <x:c r="B18" s="14" t="n">
        <x:f>'ShoppingList'!H11</x:f>
        <x:v>2.5</x:v>
      </x:c>
      <x:c r="C18" s="14" t="n">
        <x:f>'ShoppingList'!J11</x:f>
        <x:v>0.15</x:v>
      </x:c>
      <x:c r="D18" s="1"/>
      <x:c r="E18" s="1"/>
      <x:c r="F18" s="1"/>
      <x:c r="G18" s="1"/>
      <x:c r="H18" s="1"/>
      <x:c r="I18" s="1"/>
      <x:c r="J18" s="1"/>
      <x:c r="K18" s="1"/>
      <x:c r="L18" s="1"/>
    </x:row>
    <x:row r="19" ht="23" customHeight="1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</x:row>
    <x:row r="20" ht="23" customHeight="1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</x:row>
    <x:row r="21" ht="23" customHeight="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</x:row>
    <x:row r="22" ht="23" customHeight="1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</x:row>
    <x:row r="23" ht="23" customHeight="1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</x:row>
    <x:row r="24" ht="23" customHeight="1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</x:row>
    <x:row r="25" ht="23" customHeight="1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</x:row>
    <x:row r="26" ht="23" customHeight="1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</x:row>
    <x:row r="27" ht="23" customHeight="1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</x:row>
    <x:row r="28" ht="23" customHeight="1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</x:row>
    <x:row r="29" ht="23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</x:row>
    <x:row r="30" ht="23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</x:row>
    <x:row r="31" ht="23" customHeight="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</x:row>
    <x:row r="32" ht="23" customHeight="1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</x:row>
    <x:row r="33" ht="23" customHeight="1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</x:row>
    <x:row r="34" ht="23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</x:row>
    <x:row r="35" ht="23" customHeight="1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</x:row>
  </x:sheetData>
  <x:conditionalFormatting sqref="B7:B7">
    <x:cfRule type="expression" dxfId="1" priority="1">
      <x:formula>B7&gt;B8</x:formula>
    </x:cfRule>
  </x:conditionalFormatting>
  <x:conditionalFormatting sqref="B10:B10">
    <x:cfRule type="expression" dxfId="2" priority="2">
      <x:formula>$B$7&gt;$B$8</x:formula>
    </x:cfRule>
  </x:conditionalFormatting>
  <x:pageMargins left="0.7" right="0.7" top="0.75" bottom="0.75" header="0.3" footer="0.3"/>
  <x:drawing xmlns:r="http://schemas.openxmlformats.org/officeDocument/2006/relationships" r:id="R50a4a9542f9a42c5"/>
</x:worksheet>
</file>