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agent2human\"/>
    </mc:Choice>
  </mc:AlternateContent>
  <xr:revisionPtr revIDLastSave="0" documentId="13_ncr:1_{2F2E35D8-DAD8-4894-8DBD-4420E7D9D54D}" xr6:coauthVersionLast="47" xr6:coauthVersionMax="47" xr10:uidLastSave="{00000000-0000-0000-0000-000000000000}"/>
  <bookViews>
    <workbookView xWindow="6195" yWindow="2970" windowWidth="25410" windowHeight="13545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4" l="1"/>
  <c r="B5" i="4"/>
  <c r="F11" i="3"/>
  <c r="E11" i="3"/>
  <c r="C11" i="3"/>
  <c r="A11" i="3"/>
  <c r="F10" i="3"/>
  <c r="E10" i="3"/>
  <c r="C10" i="3"/>
  <c r="A10" i="3"/>
  <c r="F9" i="3"/>
  <c r="E9" i="3"/>
  <c r="C9" i="3"/>
  <c r="A9" i="3"/>
  <c r="F8" i="3"/>
  <c r="E8" i="3"/>
  <c r="C8" i="3"/>
  <c r="A8" i="3"/>
  <c r="F7" i="3"/>
  <c r="E7" i="3"/>
  <c r="C7" i="3"/>
  <c r="A7" i="3"/>
  <c r="B4" i="3"/>
  <c r="F12" i="2"/>
  <c r="G12" i="2" s="1"/>
  <c r="J11" i="3" s="1"/>
  <c r="F11" i="2"/>
  <c r="G11" i="2" s="1"/>
  <c r="J10" i="3" s="1"/>
  <c r="F10" i="2"/>
  <c r="G10" i="2" s="1"/>
  <c r="J9" i="3" s="1"/>
  <c r="F9" i="2"/>
  <c r="G9" i="2" s="1"/>
  <c r="J8" i="3" s="1"/>
  <c r="F8" i="2"/>
  <c r="G8" i="2" s="1"/>
  <c r="J7" i="3" s="1"/>
  <c r="J13" i="3" s="1"/>
  <c r="B6" i="4" s="1"/>
  <c r="B7" i="4" s="1"/>
  <c r="I8" i="3" l="1"/>
  <c r="I10" i="3"/>
  <c r="B7" i="3"/>
  <c r="D7" i="3" s="1"/>
  <c r="G7" i="3" s="1"/>
  <c r="H7" i="3" s="1"/>
  <c r="B8" i="3"/>
  <c r="D8" i="3" s="1"/>
  <c r="G8" i="3" s="1"/>
  <c r="H8" i="3" s="1"/>
  <c r="B9" i="3"/>
  <c r="D9" i="3" s="1"/>
  <c r="G9" i="3" s="1"/>
  <c r="H9" i="3" s="1"/>
  <c r="B10" i="3"/>
  <c r="D10" i="3" s="1"/>
  <c r="G10" i="3" s="1"/>
  <c r="H10" i="3" s="1"/>
  <c r="B11" i="3"/>
  <c r="D11" i="3" s="1"/>
  <c r="G11" i="3" s="1"/>
  <c r="H11" i="3" s="1"/>
  <c r="H13" i="3" l="1"/>
  <c r="B8" i="4" s="1"/>
  <c r="I11" i="3"/>
  <c r="I9" i="3"/>
  <c r="I7" i="3"/>
  <c r="B11" i="4" l="1"/>
  <c r="B10" i="4"/>
</calcChain>
</file>

<file path=xl/sharedStrings.xml><?xml version="1.0" encoding="utf-8"?>
<sst xmlns="http://schemas.openxmlformats.org/spreadsheetml/2006/main" count="45" uniqueCount="41">
  <si>
    <t>Base recipe servings</t>
  </si>
  <si>
    <t>Desired servings</t>
  </si>
  <si>
    <t>Editable input: whole numbers from 1 to 20</t>
  </si>
  <si>
    <t>Shopping budget (USD)</t>
  </si>
  <si>
    <t>Editable input: zero or a positive amount</t>
  </si>
  <si>
    <t>Amber cells are editable inputs.</t>
  </si>
  <si>
    <t>Used cost values the amount cooked at the package unit price.</t>
  </si>
  <si>
    <t>Purchase cost buys whole packages after available stock is deducted.</t>
  </si>
  <si>
    <t>Recipe and pantry</t>
  </si>
  <si>
    <t>Source: user-supplied illustrative quantities and prices. All quantities are grams.</t>
  </si>
  <si>
    <t>Egg yolks exclude shells and egg whites. Amber cells are editable.</t>
  </si>
  <si>
    <t>Ingredient</t>
  </si>
  <si>
    <t>Base quantity (g)</t>
  </si>
  <si>
    <t>Stock available (g)</t>
  </si>
  <si>
    <t>Package size (g)</t>
  </si>
  <si>
    <t>Package price (USD)</t>
  </si>
  <si>
    <t>Required quantity (g)</t>
  </si>
  <si>
    <t>Used cost (USD)</t>
  </si>
  <si>
    <t>Spaghetti (dry)</t>
  </si>
  <si>
    <t>Guanciale</t>
  </si>
  <si>
    <t>Egg yolks</t>
  </si>
  <si>
    <t>Pecorino Romano</t>
  </si>
  <si>
    <t>Black pepper</t>
  </si>
  <si>
    <t>Shopping list</t>
  </si>
  <si>
    <t>Required (g)</t>
  </si>
  <si>
    <t>Stock (g)</t>
  </si>
  <si>
    <t>Additional (g)</t>
  </si>
  <si>
    <t>Pack size (g)</t>
  </si>
  <si>
    <t>Pack price (USD)</t>
  </si>
  <si>
    <t>Packages to buy</t>
  </si>
  <si>
    <t>Purchase cost (USD)</t>
  </si>
  <si>
    <t>Remaining (g)</t>
  </si>
  <si>
    <t>Total (USD)</t>
  </si>
  <si>
    <t>Total used-ingredient cost</t>
  </si>
  <si>
    <t>Used cost per serving</t>
  </si>
  <si>
    <t>Total purchase cost</t>
  </si>
  <si>
    <t>Budget</t>
  </si>
  <si>
    <t>Budget remaining</t>
  </si>
  <si>
    <t>Budget status</t>
  </si>
  <si>
    <t>Risotto meal setup</t>
  </si>
  <si>
    <t>Risotto cost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</si>
</sst>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"/>
  </numFmts>
  <fonts count="5">
    <font>
      <sz val="11"/>
      <name val="Carlito"/>
    </font>
    <font>
      <sz val="11"/>
      <color rgb="FF25312D"/>
      <name val="Arial"/>
    </font>
    <font>
      <b/>
      <sz val="16"/>
      <color rgb="FF344E41"/>
      <name val="Arial"/>
    </font>
    <font>
      <b/>
      <sz val="11"/>
      <color rgb="FFFFFFFF"/>
      <name val="Arial"/>
    </font>
    <font>
      <b/>
      <sz val="11"/>
      <color rgb="FF253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344E41"/>
      </patternFill>
    </fill>
  </fills>
  <borders count="3">
    <border>
      <left/>
      <right/>
      <top/>
      <bottom/>
      <diagonal/>
    </border>
    <border>
      <left/>
      <right/>
      <top/>
      <bottom style="thin">
        <color rgb="FFA3B18A"/>
      </bottom>
      <diagonal/>
    </border>
    <border>
      <left/>
      <right/>
      <top style="thin">
        <color rgb="FF344E4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0" borderId="1" xfId="0" applyNumberFormat="1" applyFont="1" applyFill="1" applyBorder="1"/>
    <xf numFmtId="0" fontId="1" fillId="2" borderId="0" xfId="0" applyNumberFormat="1" applyFont="1" applyFill="1" applyBorder="1"/>
    <xf numFmtId="1" fontId="1" fillId="0" borderId="0" xfId="0" applyNumberFormat="1" applyFont="1" applyFill="1" applyBorder="1"/>
    <xf numFmtId="1" fontId="1" fillId="2" borderId="0" xfId="0" applyNumberFormat="1" applyFont="1" applyFill="1" applyBorder="1"/>
    <xf numFmtId="164" fontId="1" fillId="2" borderId="0" xfId="0" applyNumberFormat="1" applyFont="1" applyFill="1" applyBorder="1"/>
    <xf numFmtId="165" fontId="1" fillId="2" borderId="0" xfId="0" applyNumberFormat="1" applyFont="1" applyFill="1" applyBorder="1"/>
    <xf numFmtId="165" fontId="1" fillId="0" borderId="0" xfId="0" applyNumberFormat="1" applyFont="1" applyFill="1" applyBorder="1"/>
    <xf numFmtId="164" fontId="1" fillId="0" borderId="0" xfId="0" applyNumberFormat="1" applyFont="1" applyFill="1" applyBorder="1"/>
    <xf numFmtId="0" fontId="3" fillId="3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0" fontId="4" fillId="0" borderId="2" xfId="0" applyNumberFormat="1" applyFont="1" applyFill="1" applyBorder="1"/>
    <xf numFmtId="164" fontId="4" fillId="0" borderId="2" xfId="0" applyNumberFormat="1" applyFont="1" applyFill="1" applyBorder="1"/>
    <xf numFmtId="164" fontId="4" fillId="0" borderId="0" xfId="0" applyNumberFormat="1" applyFont="1" applyFill="1" applyBorder="1"/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8EF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588157"/>
            </a:solidFill>
          </c:spPr>
          <c:invertIfNegative val="1"/>
          <c:cat>
            <c:strRef>
              <c:f>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ShoppingList!$H$7:$H$11</c:f>
              <c:numCache>
                <c:formatCode>\$#,##0.00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7AF-42BD-8825-438082A28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 cost (USD)</c:v>
          </c:tx>
          <c:cat>
            <c:strRef>
              <c:f>Ingredients!$A$8:$A$12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Ingredients!$G$8:$G$12</c:f>
              <c:numCache>
                <c:formatCode>\$#,##0.00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5-451B-AE79-0F98F1A22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13</xdr:row>
      <xdr:rowOff>266700</xdr:rowOff>
    </xdr:from>
    <xdr:to>
      <xdr:col>1</xdr:col>
      <xdr:colOff>9525</xdr:colOff>
      <xdr:row>16</xdr:row>
      <xdr:rowOff>247650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D5EA98-2A5C-4505-9A49-B12519B7357F}"/>
            </a:ext>
          </a:extLst>
        </xdr:cNvPr>
        <xdr:cNvSpPr/>
      </xdr:nvSpPr>
      <xdr:spPr>
        <a:xfrm>
          <a:off x="57150" y="3981450"/>
          <a:ext cx="2390775" cy="83820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sTable" displayName="IngredientsTable" ref="A7:G12" totalsRowShown="0">
  <autoFilter ref="A7:G12" xr:uid="{00000000-0009-0000-0100-000001000000}"/>
  <tableColumns count="7">
    <tableColumn id="1" xr3:uid="{00000000-0010-0000-0000-000001000000}" name="Ingredient"/>
    <tableColumn id="2" xr3:uid="{00000000-0010-0000-0000-000002000000}" name="Base quantity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3B18A"/>
  </sheetPr>
  <dimension ref="A1:L35"/>
  <sheetViews>
    <sheetView showGridLines="0" tabSelected="1" workbookViewId="0">
      <selection activeCell="A15" sqref="A15"/>
    </sheetView>
  </sheetViews>
  <sheetFormatPr defaultRowHeight="14.25"/>
  <cols>
    <col min="1" max="1" width="32" customWidth="1"/>
    <col min="2" max="2" width="18" customWidth="1"/>
    <col min="3" max="3" width="3" customWidth="1"/>
    <col min="4" max="4" width="76" customWidth="1"/>
  </cols>
  <sheetData>
    <row r="1" spans="1:12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1" customHeight="1">
      <c r="A2" s="2" t="s">
        <v>39</v>
      </c>
      <c r="B2" s="2"/>
      <c r="C2" s="2"/>
      <c r="D2" s="2"/>
      <c r="E2" s="1"/>
      <c r="F2" s="1"/>
      <c r="G2" s="1"/>
      <c r="H2" s="1"/>
      <c r="I2" s="1"/>
      <c r="J2" s="1"/>
      <c r="K2" s="1"/>
      <c r="L2" s="1"/>
    </row>
    <row r="3" spans="1:12" ht="23.1" customHeight="1">
      <c r="A3" s="3"/>
      <c r="B3" s="3"/>
      <c r="C3" s="3"/>
      <c r="D3" s="3"/>
      <c r="E3" s="1"/>
      <c r="F3" s="1"/>
      <c r="G3" s="1"/>
      <c r="H3" s="1"/>
      <c r="I3" s="1"/>
      <c r="J3" s="1"/>
      <c r="K3" s="1"/>
      <c r="L3" s="1"/>
    </row>
    <row r="4" spans="1:12" ht="23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3.1" customHeight="1">
      <c r="A5" s="1" t="s">
        <v>0</v>
      </c>
      <c r="B5" s="5">
        <v>2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3.1" customHeight="1">
      <c r="A6" s="1" t="s">
        <v>1</v>
      </c>
      <c r="B6" s="6">
        <v>6</v>
      </c>
      <c r="C6" s="1"/>
      <c r="D6" s="1" t="s">
        <v>2</v>
      </c>
      <c r="E6" s="1"/>
      <c r="F6" s="1"/>
      <c r="G6" s="1"/>
      <c r="H6" s="1"/>
      <c r="I6" s="1"/>
      <c r="J6" s="1"/>
      <c r="K6" s="1"/>
      <c r="L6" s="1"/>
    </row>
    <row r="7" spans="1:12" ht="23.1" customHeight="1">
      <c r="A7" s="1" t="s">
        <v>3</v>
      </c>
      <c r="B7" s="7">
        <v>20</v>
      </c>
      <c r="C7" s="1"/>
      <c r="D7" s="1" t="s">
        <v>4</v>
      </c>
      <c r="E7" s="1"/>
      <c r="F7" s="1"/>
      <c r="G7" s="1"/>
      <c r="H7" s="1"/>
      <c r="I7" s="1"/>
      <c r="J7" s="1"/>
      <c r="K7" s="1"/>
      <c r="L7" s="1"/>
    </row>
    <row r="8" spans="1:12" ht="23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3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3.1" customHeight="1">
      <c r="A10" s="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3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3.1" customHeight="1">
      <c r="A12" s="1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3.1" customHeight="1">
      <c r="A13" s="1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dataValidations count="2">
    <dataValidation type="whole" showErrorMessage="1" sqref="B6" xr:uid="{00000000-0002-0000-0000-000000000000}">
      <formula1>1</formula1>
      <formula2>20</formula2>
    </dataValidation>
    <dataValidation type="decimal" operator="greaterThanOrEqual" showErrorMessage="1" sqref="B7" xr:uid="{00000000-0002-0000-0000-000001000000}">
      <formula1>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1" width="25" customWidth="1"/>
    <col min="2" max="7" width="20" customWidth="1"/>
  </cols>
  <sheetData>
    <row r="1" spans="1:12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1" customHeight="1">
      <c r="A2" s="2" t="s">
        <v>8</v>
      </c>
      <c r="B2" s="2"/>
      <c r="C2" s="2"/>
      <c r="D2" s="2"/>
      <c r="E2" s="2"/>
      <c r="F2" s="2"/>
      <c r="G2" s="2"/>
      <c r="H2" s="1"/>
      <c r="I2" s="1"/>
      <c r="J2" s="1"/>
      <c r="K2" s="1"/>
      <c r="L2" s="1"/>
    </row>
    <row r="3" spans="1:12" ht="23.1" customHeight="1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</row>
    <row r="4" spans="1:12" ht="23.1" customHeight="1">
      <c r="A4" s="1" t="s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3.1" customHeight="1">
      <c r="A5" s="1" t="s">
        <v>10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3.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44.1" customHeight="1">
      <c r="A7" s="11" t="s">
        <v>11</v>
      </c>
      <c r="B7" s="11" t="s">
        <v>12</v>
      </c>
      <c r="C7" s="11" t="s">
        <v>13</v>
      </c>
      <c r="D7" s="11" t="s">
        <v>14</v>
      </c>
      <c r="E7" s="11" t="s">
        <v>15</v>
      </c>
      <c r="F7" s="11" t="s">
        <v>16</v>
      </c>
      <c r="G7" s="11" t="s">
        <v>17</v>
      </c>
      <c r="H7" s="1"/>
      <c r="I7" s="1"/>
      <c r="J7" s="1"/>
      <c r="K7" s="1"/>
      <c r="L7" s="1"/>
    </row>
    <row r="8" spans="1:12" ht="23.1" customHeight="1">
      <c r="A8" s="4" t="s">
        <v>18</v>
      </c>
      <c r="B8" s="8">
        <v>200</v>
      </c>
      <c r="C8" s="8">
        <v>100</v>
      </c>
      <c r="D8" s="8">
        <v>500</v>
      </c>
      <c r="E8" s="7">
        <v>2.5</v>
      </c>
      <c r="F8" s="9">
        <f>B8*Setup!$B$6/Setup!$B$5</f>
        <v>600</v>
      </c>
      <c r="G8" s="10">
        <f>F8/D8*E8</f>
        <v>3</v>
      </c>
      <c r="H8" s="1"/>
      <c r="I8" s="1"/>
      <c r="J8" s="1"/>
      <c r="K8" s="1"/>
      <c r="L8" s="1"/>
    </row>
    <row r="9" spans="1:12" ht="23.1" customHeight="1">
      <c r="A9" s="4" t="s">
        <v>19</v>
      </c>
      <c r="B9" s="8">
        <v>80</v>
      </c>
      <c r="C9" s="8">
        <v>20</v>
      </c>
      <c r="D9" s="8">
        <v>100</v>
      </c>
      <c r="E9" s="7">
        <v>4</v>
      </c>
      <c r="F9" s="9">
        <f>B9*Setup!$B$6/Setup!$B$5</f>
        <v>240</v>
      </c>
      <c r="G9" s="10">
        <f>F9/D9*E9</f>
        <v>9.6</v>
      </c>
      <c r="H9" s="1"/>
      <c r="I9" s="1"/>
      <c r="J9" s="1"/>
      <c r="K9" s="1"/>
      <c r="L9" s="1"/>
    </row>
    <row r="10" spans="1:12" ht="23.1" customHeight="1">
      <c r="A10" s="4" t="s">
        <v>20</v>
      </c>
      <c r="B10" s="8">
        <v>36</v>
      </c>
      <c r="C10" s="8">
        <v>0</v>
      </c>
      <c r="D10" s="8">
        <v>36</v>
      </c>
      <c r="E10" s="7">
        <v>0.54</v>
      </c>
      <c r="F10" s="9">
        <f>B10*Setup!$B$6/Setup!$B$5</f>
        <v>108</v>
      </c>
      <c r="G10" s="10">
        <f>F10/D10*E10</f>
        <v>1.62</v>
      </c>
      <c r="H10" s="1"/>
      <c r="I10" s="1"/>
      <c r="J10" s="1"/>
      <c r="K10" s="1"/>
      <c r="L10" s="1"/>
    </row>
    <row r="11" spans="1:12" ht="23.1" customHeight="1">
      <c r="A11" s="4" t="s">
        <v>21</v>
      </c>
      <c r="B11" s="8">
        <v>40</v>
      </c>
      <c r="C11" s="8">
        <v>10</v>
      </c>
      <c r="D11" s="8">
        <v>100</v>
      </c>
      <c r="E11" s="7">
        <v>3.5</v>
      </c>
      <c r="F11" s="9">
        <f>B11*Setup!$B$6/Setup!$B$5</f>
        <v>120</v>
      </c>
      <c r="G11" s="10">
        <f>F11/D11*E11</f>
        <v>4.2</v>
      </c>
      <c r="H11" s="1"/>
      <c r="I11" s="1"/>
      <c r="J11" s="1"/>
      <c r="K11" s="1"/>
      <c r="L11" s="1"/>
    </row>
    <row r="12" spans="1:12" ht="23.1" customHeight="1">
      <c r="A12" s="4" t="s">
        <v>22</v>
      </c>
      <c r="B12" s="8">
        <v>1</v>
      </c>
      <c r="C12" s="8">
        <v>2</v>
      </c>
      <c r="D12" s="8">
        <v>50</v>
      </c>
      <c r="E12" s="7">
        <v>2.5</v>
      </c>
      <c r="F12" s="9">
        <f>B12*Setup!$B$6/Setup!$B$5</f>
        <v>3</v>
      </c>
      <c r="G12" s="10">
        <f>F12/D12*E12</f>
        <v>0.15</v>
      </c>
      <c r="H12" s="1"/>
      <c r="I12" s="1"/>
      <c r="J12" s="1"/>
      <c r="K12" s="1"/>
      <c r="L12" s="1"/>
    </row>
    <row r="13" spans="1:12" ht="23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5" customWidth="1"/>
    <col min="2" max="10" width="17" customWidth="1"/>
  </cols>
  <sheetData>
    <row r="1" spans="1:12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1" customHeight="1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2" ht="23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1"/>
      <c r="L3" s="1"/>
    </row>
    <row r="4" spans="1:12" ht="23.1" customHeight="1">
      <c r="A4" s="1" t="s">
        <v>1</v>
      </c>
      <c r="B4" s="1">
        <f>Setup!B6</f>
        <v>6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3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4.1" customHeight="1">
      <c r="A6" s="11" t="s">
        <v>11</v>
      </c>
      <c r="B6" s="11" t="s">
        <v>24</v>
      </c>
      <c r="C6" s="11" t="s">
        <v>25</v>
      </c>
      <c r="D6" s="11" t="s">
        <v>26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31</v>
      </c>
      <c r="J6" s="11" t="s">
        <v>17</v>
      </c>
      <c r="K6" s="1"/>
      <c r="L6" s="1"/>
    </row>
    <row r="7" spans="1:12" ht="23.1" customHeight="1">
      <c r="A7" s="1" t="str">
        <f>Ingredients!A8</f>
        <v>Spaghetti (dry)</v>
      </c>
      <c r="B7" s="9">
        <f>Ingredients!F8</f>
        <v>600</v>
      </c>
      <c r="C7" s="9">
        <f>Ingredients!C8</f>
        <v>100</v>
      </c>
      <c r="D7" s="9">
        <f>MAX(0,B7-C7)</f>
        <v>500</v>
      </c>
      <c r="E7" s="9">
        <f>Ingredients!D8</f>
        <v>500</v>
      </c>
      <c r="F7" s="10">
        <f>Ingredients!E8</f>
        <v>2.5</v>
      </c>
      <c r="G7" s="5">
        <f>ROUNDUP(D7/E7,0)</f>
        <v>1</v>
      </c>
      <c r="H7" s="10">
        <f>G7*F7</f>
        <v>2.5</v>
      </c>
      <c r="I7" s="9">
        <f>C7+G7*E7-B7</f>
        <v>0</v>
      </c>
      <c r="J7" s="10">
        <f>Ingredients!G8</f>
        <v>3</v>
      </c>
      <c r="K7" s="1"/>
      <c r="L7" s="1"/>
    </row>
    <row r="8" spans="1:12" ht="23.1" customHeight="1">
      <c r="A8" s="1" t="str">
        <f>Ingredients!A9</f>
        <v>Guanciale</v>
      </c>
      <c r="B8" s="9">
        <f>Ingredients!F9</f>
        <v>240</v>
      </c>
      <c r="C8" s="9">
        <f>Ingredients!C9</f>
        <v>20</v>
      </c>
      <c r="D8" s="9">
        <f>MAX(0,B8-C8)</f>
        <v>220</v>
      </c>
      <c r="E8" s="9">
        <f>Ingredients!D9</f>
        <v>100</v>
      </c>
      <c r="F8" s="10">
        <f>Ingredients!E9</f>
        <v>4</v>
      </c>
      <c r="G8" s="5">
        <f>ROUNDUP(D8/E8,0)</f>
        <v>3</v>
      </c>
      <c r="H8" s="10">
        <f>G8*F8</f>
        <v>12</v>
      </c>
      <c r="I8" s="9">
        <f>C8+G8*E8-B8</f>
        <v>80</v>
      </c>
      <c r="J8" s="10">
        <f>Ingredients!G9</f>
        <v>9.6</v>
      </c>
      <c r="K8" s="1"/>
      <c r="L8" s="1"/>
    </row>
    <row r="9" spans="1:12" ht="23.1" customHeight="1">
      <c r="A9" s="1" t="str">
        <f>Ingredients!A10</f>
        <v>Egg yolks</v>
      </c>
      <c r="B9" s="9">
        <f>Ingredients!F10</f>
        <v>108</v>
      </c>
      <c r="C9" s="9">
        <f>Ingredients!C10</f>
        <v>0</v>
      </c>
      <c r="D9" s="9">
        <f>MAX(0,B9-C9)</f>
        <v>108</v>
      </c>
      <c r="E9" s="9">
        <f>Ingredients!D10</f>
        <v>36</v>
      </c>
      <c r="F9" s="10">
        <f>Ingredients!E10</f>
        <v>0.54</v>
      </c>
      <c r="G9" s="5">
        <f>ROUNDUP(D9/E9,0)</f>
        <v>3</v>
      </c>
      <c r="H9" s="10">
        <f>G9*F9</f>
        <v>1.62</v>
      </c>
      <c r="I9" s="9">
        <f>C9+G9*E9-B9</f>
        <v>0</v>
      </c>
      <c r="J9" s="10">
        <f>Ingredients!G10</f>
        <v>1.62</v>
      </c>
      <c r="K9" s="1"/>
      <c r="L9" s="1"/>
    </row>
    <row r="10" spans="1:12" ht="23.1" customHeight="1">
      <c r="A10" s="1" t="str">
        <f>Ingredients!A11</f>
        <v>Pecorino Romano</v>
      </c>
      <c r="B10" s="9">
        <f>Ingredients!F11</f>
        <v>120</v>
      </c>
      <c r="C10" s="9">
        <f>Ingredients!C11</f>
        <v>10</v>
      </c>
      <c r="D10" s="9">
        <f>MAX(0,B10-C10)</f>
        <v>110</v>
      </c>
      <c r="E10" s="9">
        <f>Ingredients!D11</f>
        <v>100</v>
      </c>
      <c r="F10" s="10">
        <f>Ingredients!E11</f>
        <v>3.5</v>
      </c>
      <c r="G10" s="5">
        <f>ROUNDUP(D10/E10,0)</f>
        <v>2</v>
      </c>
      <c r="H10" s="10">
        <f>G10*F10</f>
        <v>7</v>
      </c>
      <c r="I10" s="9">
        <f>C10+G10*E10-B10</f>
        <v>90</v>
      </c>
      <c r="J10" s="10">
        <f>Ingredients!G11</f>
        <v>4.2</v>
      </c>
      <c r="K10" s="1"/>
      <c r="L10" s="1"/>
    </row>
    <row r="11" spans="1:12" ht="23.1" customHeight="1">
      <c r="A11" s="1" t="str">
        <f>Ingredients!A12</f>
        <v>Black pepper</v>
      </c>
      <c r="B11" s="9">
        <f>Ingredients!F12</f>
        <v>3</v>
      </c>
      <c r="C11" s="9">
        <f>Ingredients!C12</f>
        <v>2</v>
      </c>
      <c r="D11" s="9">
        <f>MAX(0,B11-C11)</f>
        <v>1</v>
      </c>
      <c r="E11" s="9">
        <f>Ingredients!D12</f>
        <v>50</v>
      </c>
      <c r="F11" s="10">
        <f>Ingredients!E12</f>
        <v>2.5</v>
      </c>
      <c r="G11" s="5">
        <f>ROUNDUP(D11/E11,0)</f>
        <v>1</v>
      </c>
      <c r="H11" s="10">
        <f>G11*F11</f>
        <v>2.5</v>
      </c>
      <c r="I11" s="9">
        <f>C11+G11*E11-B11</f>
        <v>49</v>
      </c>
      <c r="J11" s="10">
        <f>Ingredients!G12</f>
        <v>0.15</v>
      </c>
      <c r="K11" s="1"/>
      <c r="L11" s="1"/>
    </row>
    <row r="12" spans="1:12" ht="23.1" customHeight="1">
      <c r="A12" s="1"/>
      <c r="B12" s="1"/>
      <c r="C12" s="1"/>
      <c r="D12" s="1"/>
      <c r="E12" s="1"/>
      <c r="F12" s="10"/>
      <c r="G12" s="1"/>
      <c r="H12" s="10"/>
      <c r="I12" s="1"/>
      <c r="J12" s="10"/>
      <c r="K12" s="1"/>
      <c r="L12" s="1"/>
    </row>
    <row r="13" spans="1:12" ht="23.1" customHeight="1">
      <c r="A13" s="13" t="s">
        <v>32</v>
      </c>
      <c r="B13" s="13"/>
      <c r="C13" s="13"/>
      <c r="D13" s="13"/>
      <c r="E13" s="13"/>
      <c r="F13" s="14"/>
      <c r="G13" s="13"/>
      <c r="H13" s="14">
        <f>SUM(H7:H11)</f>
        <v>25.62</v>
      </c>
      <c r="I13" s="13"/>
      <c r="J13" s="14">
        <f>SUM(J7:J11)</f>
        <v>18.569999999999997</v>
      </c>
      <c r="K13" s="1"/>
      <c r="L13" s="1"/>
    </row>
    <row r="14" spans="1:12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H13&gt;Setup!$B$7</xm:f>
            <x14:dxf>
              <font>
                <b/>
                <color rgb="FF9C0006"/>
              </font>
              <fill>
                <patternFill patternType="solid">
                  <bgColor rgb="FFFCE4D6"/>
                </patternFill>
              </fill>
            </x14:dxf>
          </x14:cfRule>
          <xm:sqref>H13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4E41"/>
  </sheetPr>
  <dimension ref="A1:L35"/>
  <sheetViews>
    <sheetView showGridLines="0" workbookViewId="0"/>
  </sheetViews>
  <sheetFormatPr defaultRowHeight="14.25"/>
  <cols>
    <col min="1" max="1" width="34" customWidth="1"/>
    <col min="2" max="2" width="20" customWidth="1"/>
    <col min="3" max="12" width="11" customWidth="1"/>
  </cols>
  <sheetData>
    <row r="1" spans="1:12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1" customHeight="1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3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3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3.1" customHeight="1">
      <c r="A5" s="1" t="s">
        <v>1</v>
      </c>
      <c r="B5" s="5">
        <f>Setup!B6</f>
        <v>6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3.1" customHeight="1">
      <c r="A6" s="1" t="s">
        <v>33</v>
      </c>
      <c r="B6" s="10">
        <f>ShoppingList!J13</f>
        <v>18.569999999999997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3.1" customHeight="1">
      <c r="A7" s="1" t="s">
        <v>34</v>
      </c>
      <c r="B7" s="10">
        <f>B6/B5</f>
        <v>3.0949999999999993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3.1" customHeight="1">
      <c r="A8" s="12" t="s">
        <v>35</v>
      </c>
      <c r="B8" s="15">
        <f>ShoppingList!H13</f>
        <v>25.62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3.1" customHeight="1">
      <c r="A9" s="1" t="s">
        <v>36</v>
      </c>
      <c r="B9" s="10">
        <f>Setup!B7</f>
        <v>20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3.1" customHeight="1">
      <c r="A10" s="1" t="s">
        <v>37</v>
      </c>
      <c r="B10" s="10">
        <f>B9-B8</f>
        <v>-5.620000000000001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3.1" customHeight="1">
      <c r="A11" s="1" t="s">
        <v>38</v>
      </c>
      <c r="B11" s="1" t="str">
        <f>IF(B8&lt;=B9,"Within budget","Over budget")</f>
        <v>Over budget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3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3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conditionalFormatting sqref="B8">
    <cfRule type="expression" dxfId="1" priority="1">
      <formula>B8&gt;B9</formula>
    </cfRule>
  </conditionalFormatting>
  <conditionalFormatting sqref="B11">
    <cfRule type="expression" dxfId="0" priority="2">
      <formula>B8&gt;B9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2026-10-05T06:25:39Z</dcterms:modified>
</cp:coreProperties>
</file>