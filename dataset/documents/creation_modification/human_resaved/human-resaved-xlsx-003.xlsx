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agent2human\"/>
    </mc:Choice>
  </mc:AlternateContent>
  <xr:revisionPtr revIDLastSave="0" documentId="13_ncr:1_{AE302BED-F610-4C72-B937-7E6EC41E8863}" xr6:coauthVersionLast="47" xr6:coauthVersionMax="47" xr10:uidLastSave="{00000000-0000-0000-0000-000000000000}"/>
  <bookViews>
    <workbookView xWindow="6195" yWindow="2970" windowWidth="25410" windowHeight="13545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4" l="1"/>
  <c r="D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B3" i="3"/>
  <c r="F11" i="2"/>
  <c r="G11" i="2" s="1"/>
  <c r="J11" i="3" s="1"/>
  <c r="F10" i="2"/>
  <c r="G10" i="2" s="1"/>
  <c r="J10" i="3" s="1"/>
  <c r="F9" i="2"/>
  <c r="G9" i="2" s="1"/>
  <c r="J9" i="3" s="1"/>
  <c r="F8" i="2"/>
  <c r="G8" i="2" s="1"/>
  <c r="J8" i="3" s="1"/>
  <c r="F7" i="2"/>
  <c r="G7" i="2" s="1"/>
  <c r="J7" i="3" s="1"/>
  <c r="J13" i="3" l="1"/>
  <c r="D6" i="4" s="1"/>
  <c r="D7" i="4" s="1"/>
  <c r="B7" i="3"/>
  <c r="D7" i="3" s="1"/>
  <c r="G7" i="3" s="1"/>
  <c r="H7" i="3" s="1"/>
  <c r="B8" i="3"/>
  <c r="D8" i="3" s="1"/>
  <c r="G8" i="3" s="1"/>
  <c r="H8" i="3" s="1"/>
  <c r="B9" i="3"/>
  <c r="D9" i="3" s="1"/>
  <c r="G9" i="3" s="1"/>
  <c r="H9" i="3" s="1"/>
  <c r="B10" i="3"/>
  <c r="D10" i="3" s="1"/>
  <c r="G10" i="3" s="1"/>
  <c r="H10" i="3" s="1"/>
  <c r="B11" i="3"/>
  <c r="D11" i="3" s="1"/>
  <c r="G11" i="3" s="1"/>
  <c r="H11" i="3" s="1"/>
  <c r="I10" i="3" l="1"/>
  <c r="I8" i="3"/>
  <c r="H13" i="3"/>
  <c r="I5" i="4" s="1"/>
  <c r="I11" i="3"/>
  <c r="I9" i="3"/>
  <c r="I7" i="3"/>
  <c r="I8" i="4" l="1"/>
  <c r="I7" i="4"/>
</calcChain>
</file>

<file path=xl/sharedStrings.xml><?xml version="1.0" encoding="utf-8"?>
<sst xmlns="http://schemas.openxmlformats.org/spreadsheetml/2006/main" count="53" uniqueCount="46">
  <si>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</si>
  <si>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</si>
  <si>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</si>
  <si>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</si>
  <si>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</si>
  <si>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</si>
  <si>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</si>
  <si>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</si>
  <si>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</si>
  <si>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</si>
  <si>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</si>
  <si>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</si>
  <si>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</si>
  <si>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</si>
  <si>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</si>
  <si>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</si>
  <si>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</si>
  <si>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</si>
  <si>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</si>
  <si>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</si>
  <si>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</si>
  <si>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</si>
  <si>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</si>
  <si>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</si>
  <si>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</si>
  <si>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</si>
  <si>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</si>
  <si>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</si>
  <si>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</si>
  <si>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</si>
  <si>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</si>
  <si>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</si>
  <si>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</si>
  <si>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</si>
  <si>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</si>
  <si>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</si>
  <si>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</si>
  <si>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</si>
  <si>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</si>
  <si>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</si>
  <si>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</si>
  <si>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</si>
  <si>
    <t>Risotto meal setup</t>
  </si>
  <si>
    <t>Risotto ingredients</t>
  </si>
  <si>
    <t>Risotto shopping list</t>
  </si>
  <si>
    <t>Risotto cost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</si>
</sst>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6">
    <font>
      <sz val="11"/>
      <name val="Carlito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5" fontId="1" fillId="4" borderId="0" xfId="0" applyNumberFormat="1" applyFont="1" applyFill="1" applyBorder="1" applyAlignment="1">
      <alignment vertical="center"/>
    </xf>
    <xf numFmtId="164" fontId="1" fillId="4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4" fillId="5" borderId="4" xfId="0" applyNumberFormat="1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EFA-47C5-B7BE-99059108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82-8CAA-739167D07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16</xdr:row>
      <xdr:rowOff>228600</xdr:rowOff>
    </xdr:from>
    <xdr:to>
      <xdr:col>1</xdr:col>
      <xdr:colOff>190500</xdr:colOff>
      <xdr:row>21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4C8EED8-4D2E-4A53-A9E8-9B66BE809F6A}"/>
            </a:ext>
          </a:extLst>
        </xdr:cNvPr>
        <xdr:cNvSpPr/>
      </xdr:nvSpPr>
      <xdr:spPr>
        <a:xfrm>
          <a:off x="95250" y="5191125"/>
          <a:ext cx="2457450" cy="866775"/>
        </a:xfrm>
        <a:prstGeom prst="rect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Table" displayName="IngredientTable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839B"/>
  </sheetPr>
  <dimension ref="A1:D17"/>
  <sheetViews>
    <sheetView showGridLines="0" tabSelected="1" topLeftCell="A4" workbookViewId="0">
      <selection activeCell="A18" sqref="A18"/>
    </sheetView>
  </sheetViews>
  <sheetFormatPr defaultRowHeight="14.25"/>
  <cols>
    <col min="1" max="1" width="31" customWidth="1"/>
    <col min="2" max="2" width="18" customWidth="1"/>
    <col min="3" max="3" width="4" customWidth="1"/>
    <col min="4" max="4" width="69" customWidth="1"/>
  </cols>
  <sheetData>
    <row r="1" spans="1:4" ht="24" customHeight="1">
      <c r="A1" s="1"/>
      <c r="B1" s="1"/>
      <c r="C1" s="1"/>
      <c r="D1" s="1"/>
    </row>
    <row r="2" spans="1:4" ht="30.95" customHeight="1">
      <c r="A2" s="2" t="s">
        <v>42</v>
      </c>
      <c r="B2" s="1"/>
      <c r="C2" s="1"/>
      <c r="D2" s="1"/>
    </row>
    <row r="3" spans="1:4" ht="24" customHeight="1">
      <c r="A3" s="1"/>
      <c r="B3" s="1"/>
      <c r="C3" s="1"/>
      <c r="D3" s="1"/>
    </row>
    <row r="4" spans="1:4" ht="24" customHeight="1">
      <c r="A4" s="3" t="s">
        <v>0</v>
      </c>
      <c r="B4" s="4" t="s">
        <v>1</v>
      </c>
      <c r="C4" s="1"/>
      <c r="D4" s="1"/>
    </row>
    <row r="5" spans="1:4" ht="24" customHeight="1">
      <c r="A5" s="1" t="s">
        <v>2</v>
      </c>
      <c r="B5" s="5">
        <v>2</v>
      </c>
      <c r="C5" s="1"/>
      <c r="D5" s="1" t="s">
        <v>3</v>
      </c>
    </row>
    <row r="6" spans="1:4" ht="24" customHeight="1">
      <c r="A6" s="1" t="s">
        <v>4</v>
      </c>
      <c r="B6" s="8">
        <v>6</v>
      </c>
      <c r="C6" s="1"/>
      <c r="D6" s="1" t="s">
        <v>5</v>
      </c>
    </row>
    <row r="7" spans="1:4" ht="24" customHeight="1">
      <c r="A7" s="1" t="s">
        <v>6</v>
      </c>
      <c r="B7" s="9">
        <v>20</v>
      </c>
      <c r="C7" s="1"/>
      <c r="D7" s="1" t="s">
        <v>7</v>
      </c>
    </row>
    <row r="8" spans="1:4" ht="24" customHeight="1">
      <c r="A8" s="1"/>
      <c r="B8" s="1"/>
      <c r="C8" s="1"/>
      <c r="D8" s="1"/>
    </row>
    <row r="9" spans="1:4" ht="24" customHeight="1">
      <c r="A9" s="1"/>
      <c r="B9" s="1"/>
      <c r="C9" s="1"/>
      <c r="D9" s="1"/>
    </row>
    <row r="10" spans="1:4" ht="24" customHeight="1">
      <c r="A10" s="10" t="s">
        <v>8</v>
      </c>
      <c r="B10" s="1"/>
      <c r="C10" s="1"/>
      <c r="D10" s="1"/>
    </row>
    <row r="11" spans="1:4" ht="24" customHeight="1">
      <c r="A11" s="1" t="s">
        <v>9</v>
      </c>
      <c r="B11" s="1"/>
      <c r="C11" s="1"/>
      <c r="D11" s="1"/>
    </row>
    <row r="12" spans="1:4" ht="24" customHeight="1">
      <c r="A12" s="1"/>
      <c r="B12" s="1"/>
      <c r="C12" s="1"/>
      <c r="D12" s="1"/>
    </row>
    <row r="13" spans="1:4" ht="24" customHeight="1">
      <c r="A13" s="1" t="s">
        <v>10</v>
      </c>
      <c r="B13" s="1"/>
      <c r="C13" s="1"/>
      <c r="D13" s="1"/>
    </row>
    <row r="14" spans="1:4" ht="24" customHeight="1">
      <c r="A14" s="1" t="s">
        <v>11</v>
      </c>
      <c r="B14" s="1"/>
      <c r="C14" s="1"/>
      <c r="D14" s="1"/>
    </row>
    <row r="15" spans="1:4" ht="24" customHeight="1">
      <c r="A15" s="1"/>
      <c r="B15" s="1"/>
      <c r="C15" s="1"/>
      <c r="D15" s="1"/>
    </row>
    <row r="16" spans="1:4" ht="24" customHeight="1">
      <c r="A16" s="11" t="s">
        <v>12</v>
      </c>
      <c r="B16" s="1"/>
      <c r="C16" s="1"/>
      <c r="D16" s="1"/>
    </row>
    <row r="17" spans="1:4" ht="24" customHeight="1">
      <c r="A17" s="1"/>
      <c r="B17" s="1"/>
      <c r="C17" s="1"/>
      <c r="D17" s="1"/>
    </row>
  </sheetData>
  <dataValidations count="2">
    <dataValidation type="whole" showErrorMessage="1" errorTitle="Invalid input" error="Enter a whole number from 1 to 20." sqref="B6" xr:uid="{00000000-0002-0000-0000-000000000000}">
      <formula1>1</formula1>
      <formula2>20</formula2>
    </dataValidation>
    <dataValidation type="decimal" operator="greaterThanOrEqual" showErrorMessage="1" errorTitle="Invalid input" error="Enter a nonnegative number." sqref="B7" xr:uid="{00000000-0002-0000-0000-000001000000}">
      <formula1>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" customWidth="1"/>
    <col min="2" max="2" width="22" customWidth="1"/>
    <col min="3" max="4" width="18" customWidth="1"/>
    <col min="5" max="7" width="22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.95" customHeight="1">
      <c r="A2" s="2" t="s">
        <v>43</v>
      </c>
      <c r="B2" s="1"/>
      <c r="C2" s="1"/>
      <c r="D2" s="1"/>
      <c r="E2" s="1"/>
      <c r="F2" s="1"/>
      <c r="G2" s="1"/>
    </row>
    <row r="3" spans="1:7" ht="24" customHeight="1">
      <c r="A3" s="11" t="s">
        <v>13</v>
      </c>
      <c r="B3" s="1"/>
      <c r="C3" s="1"/>
      <c r="D3" s="1"/>
      <c r="E3" s="1"/>
      <c r="F3" s="1"/>
      <c r="G3" s="1"/>
    </row>
    <row r="4" spans="1:7" ht="24" customHeight="1">
      <c r="A4" s="1" t="s">
        <v>14</v>
      </c>
      <c r="B4" s="1"/>
      <c r="C4" s="1"/>
      <c r="D4" s="1"/>
      <c r="E4" s="1"/>
      <c r="F4" s="1"/>
      <c r="G4" s="1"/>
    </row>
    <row r="5" spans="1:7" ht="24" customHeight="1">
      <c r="A5" s="1"/>
      <c r="B5" s="1"/>
      <c r="C5" s="1"/>
      <c r="D5" s="1"/>
      <c r="E5" s="1"/>
      <c r="F5" s="1"/>
      <c r="G5" s="1"/>
    </row>
    <row r="6" spans="1:7" ht="48" customHeight="1">
      <c r="A6" s="3" t="s">
        <v>15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20</v>
      </c>
      <c r="G6" s="4" t="s">
        <v>21</v>
      </c>
    </row>
    <row r="7" spans="1:7" ht="24" customHeight="1">
      <c r="A7" s="13" t="s">
        <v>22</v>
      </c>
      <c r="B7" s="14">
        <v>200</v>
      </c>
      <c r="C7" s="14">
        <v>100</v>
      </c>
      <c r="D7" s="14">
        <v>500</v>
      </c>
      <c r="E7" s="7">
        <v>2.5</v>
      </c>
      <c r="F7" s="15">
        <f>B7*Setup!$B$6/Setup!$B$5</f>
        <v>600</v>
      </c>
      <c r="G7" s="16">
        <f>F7/D7*E7</f>
        <v>3</v>
      </c>
    </row>
    <row r="8" spans="1:7" ht="24" customHeight="1">
      <c r="A8" s="13" t="s">
        <v>23</v>
      </c>
      <c r="B8" s="14">
        <v>80</v>
      </c>
      <c r="C8" s="14">
        <v>20</v>
      </c>
      <c r="D8" s="14">
        <v>100</v>
      </c>
      <c r="E8" s="7">
        <v>4</v>
      </c>
      <c r="F8" s="15">
        <f>B8*Setup!$B$6/Setup!$B$5</f>
        <v>240</v>
      </c>
      <c r="G8" s="16">
        <f>F8/D8*E8</f>
        <v>9.6</v>
      </c>
    </row>
    <row r="9" spans="1:7" ht="24" customHeight="1">
      <c r="A9" s="13" t="s">
        <v>24</v>
      </c>
      <c r="B9" s="14">
        <v>36</v>
      </c>
      <c r="C9" s="14">
        <v>0</v>
      </c>
      <c r="D9" s="14">
        <v>36</v>
      </c>
      <c r="E9" s="7">
        <v>0.54</v>
      </c>
      <c r="F9" s="15">
        <f>B9*Setup!$B$6/Setup!$B$5</f>
        <v>108</v>
      </c>
      <c r="G9" s="16">
        <f>F9/D9*E9</f>
        <v>1.62</v>
      </c>
    </row>
    <row r="10" spans="1:7" ht="24" customHeight="1">
      <c r="A10" s="13" t="s">
        <v>25</v>
      </c>
      <c r="B10" s="14">
        <v>40</v>
      </c>
      <c r="C10" s="14">
        <v>10</v>
      </c>
      <c r="D10" s="14">
        <v>100</v>
      </c>
      <c r="E10" s="7">
        <v>3.5</v>
      </c>
      <c r="F10" s="15">
        <f>B10*Setup!$B$6/Setup!$B$5</f>
        <v>120</v>
      </c>
      <c r="G10" s="16">
        <f>F10/D10*E10</f>
        <v>4.2</v>
      </c>
    </row>
    <row r="11" spans="1:7" ht="24" customHeight="1">
      <c r="A11" s="13" t="s">
        <v>26</v>
      </c>
      <c r="B11" s="14">
        <v>1</v>
      </c>
      <c r="C11" s="14">
        <v>2</v>
      </c>
      <c r="D11" s="14">
        <v>50</v>
      </c>
      <c r="E11" s="7">
        <v>2.5</v>
      </c>
      <c r="F11" s="15">
        <f>B11*Setup!$B$6/Setup!$B$5</f>
        <v>3</v>
      </c>
      <c r="G11" s="16">
        <f>F11/D11*E11</f>
        <v>0.15</v>
      </c>
    </row>
    <row r="12" spans="1:7" ht="24" customHeight="1">
      <c r="A12" s="1"/>
      <c r="B12" s="1"/>
      <c r="C12" s="1"/>
      <c r="D12" s="1"/>
      <c r="E12" s="1"/>
      <c r="F12" s="1"/>
      <c r="G12" s="1"/>
    </row>
    <row r="13" spans="1:7" ht="24" customHeight="1">
      <c r="A13" s="1"/>
      <c r="B13" s="1"/>
      <c r="C13" s="1"/>
      <c r="D13" s="1"/>
      <c r="E13" s="1"/>
      <c r="F13" s="1"/>
      <c r="G13" s="1"/>
    </row>
    <row r="14" spans="1:7" ht="24" customHeight="1">
      <c r="A14" s="1"/>
      <c r="B14" s="1"/>
      <c r="C14" s="1"/>
      <c r="D14" s="1"/>
      <c r="E14" s="1"/>
      <c r="F14" s="1"/>
      <c r="G14" s="1"/>
    </row>
    <row r="15" spans="1:7" ht="24" customHeight="1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OrEqual" showErrorMessage="1" errorTitle="Invalid input" error="Enter a nonnegative number." sqref="B7:C11 E7:E11" xr:uid="{00000000-0002-0000-0100-000000000000}">
      <formula1>0</formula1>
    </dataValidation>
    <dataValidation type="decimal" operator="greaterThan" showErrorMessage="1" errorTitle="Invalid input" error="Enter a number greater than zero." sqref="D7:D11" xr:uid="{00000000-0002-0000-0100-000001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" customWidth="1"/>
    <col min="2" max="3" width="13" customWidth="1"/>
    <col min="4" max="7" width="17" customWidth="1"/>
    <col min="8" max="10" width="22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.95" customHeight="1">
      <c r="A2" s="2" t="s">
        <v>44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 t="s">
        <v>4</v>
      </c>
      <c r="B3" s="5">
        <f>Setup!B6</f>
        <v>6</v>
      </c>
      <c r="C3" s="1"/>
      <c r="D3" s="1"/>
      <c r="E3" s="1"/>
      <c r="F3" s="1"/>
      <c r="G3" s="1"/>
      <c r="H3" s="1"/>
      <c r="I3" s="1"/>
      <c r="J3" s="1"/>
    </row>
    <row r="4" spans="1:10" ht="24" customHeight="1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8" customHeight="1">
      <c r="A6" s="3" t="s">
        <v>15</v>
      </c>
      <c r="B6" s="12" t="s">
        <v>28</v>
      </c>
      <c r="C6" s="12" t="s">
        <v>29</v>
      </c>
      <c r="D6" s="12" t="s">
        <v>30</v>
      </c>
      <c r="E6" s="12" t="s">
        <v>18</v>
      </c>
      <c r="F6" s="12" t="s">
        <v>19</v>
      </c>
      <c r="G6" s="12" t="s">
        <v>31</v>
      </c>
      <c r="H6" s="12" t="s">
        <v>32</v>
      </c>
      <c r="I6" s="12" t="s">
        <v>33</v>
      </c>
      <c r="J6" s="4" t="s">
        <v>21</v>
      </c>
    </row>
    <row r="7" spans="1:10" ht="24" customHeight="1">
      <c r="A7" s="1" t="str">
        <f>Ingredients!A7</f>
        <v>Spaghetti (dry)</v>
      </c>
      <c r="B7" s="17">
        <f>Ingredients!F7</f>
        <v>600</v>
      </c>
      <c r="C7" s="17">
        <f>Ingredients!C7</f>
        <v>100</v>
      </c>
      <c r="D7" s="17">
        <f>MAX(0,B7-C7)</f>
        <v>500</v>
      </c>
      <c r="E7" s="17">
        <f>Ingredients!D7</f>
        <v>500</v>
      </c>
      <c r="F7" s="6">
        <f>Ingredients!E7</f>
        <v>2.5</v>
      </c>
      <c r="G7" s="21">
        <f>ROUNDUP(D7/E7,0)</f>
        <v>1</v>
      </c>
      <c r="H7" s="6">
        <f>G7*F7</f>
        <v>2.5</v>
      </c>
      <c r="I7" s="17">
        <f>C7+G7*E7-B7</f>
        <v>0</v>
      </c>
      <c r="J7" s="6">
        <f>Ingredients!G7</f>
        <v>3</v>
      </c>
    </row>
    <row r="8" spans="1:10" ht="24" customHeight="1">
      <c r="A8" s="1" t="str">
        <f>Ingredients!A8</f>
        <v>Guanciale</v>
      </c>
      <c r="B8" s="17">
        <f>Ingredients!F8</f>
        <v>240</v>
      </c>
      <c r="C8" s="17">
        <f>Ingredients!C8</f>
        <v>20</v>
      </c>
      <c r="D8" s="17">
        <f>MAX(0,B8-C8)</f>
        <v>220</v>
      </c>
      <c r="E8" s="17">
        <f>Ingredients!D8</f>
        <v>100</v>
      </c>
      <c r="F8" s="6">
        <f>Ingredients!E8</f>
        <v>4</v>
      </c>
      <c r="G8" s="21">
        <f>ROUNDUP(D8/E8,0)</f>
        <v>3</v>
      </c>
      <c r="H8" s="6">
        <f>G8*F8</f>
        <v>12</v>
      </c>
      <c r="I8" s="17">
        <f>C8+G8*E8-B8</f>
        <v>80</v>
      </c>
      <c r="J8" s="6">
        <f>Ingredients!G8</f>
        <v>9.6</v>
      </c>
    </row>
    <row r="9" spans="1:10" ht="24" customHeight="1">
      <c r="A9" s="1" t="str">
        <f>Ingredients!A9</f>
        <v>Egg yolks</v>
      </c>
      <c r="B9" s="17">
        <f>Ingredients!F9</f>
        <v>108</v>
      </c>
      <c r="C9" s="17">
        <f>Ingredients!C9</f>
        <v>0</v>
      </c>
      <c r="D9" s="17">
        <f>MAX(0,B9-C9)</f>
        <v>108</v>
      </c>
      <c r="E9" s="17">
        <f>Ingredients!D9</f>
        <v>36</v>
      </c>
      <c r="F9" s="6">
        <f>Ingredients!E9</f>
        <v>0.54</v>
      </c>
      <c r="G9" s="21">
        <f>ROUNDUP(D9/E9,0)</f>
        <v>3</v>
      </c>
      <c r="H9" s="6">
        <f>G9*F9</f>
        <v>1.62</v>
      </c>
      <c r="I9" s="17">
        <f>C9+G9*E9-B9</f>
        <v>0</v>
      </c>
      <c r="J9" s="6">
        <f>Ingredients!G9</f>
        <v>1.62</v>
      </c>
    </row>
    <row r="10" spans="1:10" ht="24" customHeight="1">
      <c r="A10" s="1" t="str">
        <f>Ingredients!A10</f>
        <v>Pecorino Romano</v>
      </c>
      <c r="B10" s="17">
        <f>Ingredients!F10</f>
        <v>120</v>
      </c>
      <c r="C10" s="17">
        <f>Ingredients!C10</f>
        <v>10</v>
      </c>
      <c r="D10" s="17">
        <f>MAX(0,B10-C10)</f>
        <v>110</v>
      </c>
      <c r="E10" s="17">
        <f>Ingredients!D10</f>
        <v>100</v>
      </c>
      <c r="F10" s="6">
        <f>Ingredients!E10</f>
        <v>3.5</v>
      </c>
      <c r="G10" s="21">
        <f>ROUNDUP(D10/E10,0)</f>
        <v>2</v>
      </c>
      <c r="H10" s="6">
        <f>G10*F10</f>
        <v>7</v>
      </c>
      <c r="I10" s="17">
        <f>C10+G10*E10-B10</f>
        <v>90</v>
      </c>
      <c r="J10" s="6">
        <f>Ingredients!G10</f>
        <v>4.2</v>
      </c>
    </row>
    <row r="11" spans="1:10" ht="24" customHeight="1">
      <c r="A11" s="1" t="str">
        <f>Ingredients!A11</f>
        <v>Black pepper</v>
      </c>
      <c r="B11" s="17">
        <f>Ingredients!F11</f>
        <v>3</v>
      </c>
      <c r="C11" s="17">
        <f>Ingredients!C11</f>
        <v>2</v>
      </c>
      <c r="D11" s="17">
        <f>MAX(0,B11-C11)</f>
        <v>1</v>
      </c>
      <c r="E11" s="17">
        <f>Ingredients!D11</f>
        <v>50</v>
      </c>
      <c r="F11" s="6">
        <f>Ingredients!E11</f>
        <v>2.5</v>
      </c>
      <c r="G11" s="21">
        <f>ROUNDUP(D11/E11,0)</f>
        <v>1</v>
      </c>
      <c r="H11" s="6">
        <f>G11*F11</f>
        <v>2.5</v>
      </c>
      <c r="I11" s="17">
        <f>C11+G11*E11-B11</f>
        <v>49</v>
      </c>
      <c r="J11" s="6">
        <f>Ingredients!G11</f>
        <v>0.15</v>
      </c>
    </row>
    <row r="12" spans="1:10" ht="24" customHeight="1">
      <c r="A12" s="1"/>
      <c r="B12" s="1"/>
      <c r="C12" s="1"/>
      <c r="D12" s="1"/>
      <c r="E12" s="1"/>
      <c r="F12" s="1"/>
      <c r="G12" s="1"/>
      <c r="H12" s="6"/>
      <c r="I12" s="1"/>
      <c r="J12" s="6"/>
    </row>
    <row r="13" spans="1:10" ht="24" customHeight="1">
      <c r="A13" s="19" t="s">
        <v>34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04B63"/>
  </sheetPr>
  <dimension ref="A1:K30"/>
  <sheetViews>
    <sheetView showGridLines="0" workbookViewId="0"/>
  </sheetViews>
  <sheetFormatPr defaultRowHeight="14.25"/>
  <cols>
    <col min="1" max="3" width="16" customWidth="1"/>
    <col min="4" max="4" width="19" customWidth="1"/>
    <col min="5" max="5" width="4" customWidth="1"/>
    <col min="6" max="8" width="16" customWidth="1"/>
    <col min="9" max="9" width="20" customWidth="1"/>
    <col min="10" max="11" width="2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.95" customHeight="1">
      <c r="A2" s="2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8" t="s">
        <v>35</v>
      </c>
      <c r="B4" s="18"/>
      <c r="C4" s="18"/>
      <c r="D4" s="18"/>
      <c r="E4" s="10"/>
      <c r="F4" s="18" t="s">
        <v>6</v>
      </c>
      <c r="G4" s="18"/>
      <c r="H4" s="18"/>
      <c r="I4" s="18"/>
      <c r="J4" s="1"/>
      <c r="K4" s="1"/>
    </row>
    <row r="5" spans="1:11" ht="24" customHeight="1">
      <c r="A5" s="1" t="s">
        <v>4</v>
      </c>
      <c r="B5" s="1"/>
      <c r="C5" s="1"/>
      <c r="D5" s="21">
        <f>Setup!B6</f>
        <v>6</v>
      </c>
      <c r="E5" s="1"/>
      <c r="F5" s="1" t="s">
        <v>36</v>
      </c>
      <c r="G5" s="1"/>
      <c r="H5" s="1"/>
      <c r="I5" s="22">
        <f>ShoppingList!H13</f>
        <v>25.62</v>
      </c>
      <c r="J5" s="1"/>
      <c r="K5" s="1"/>
    </row>
    <row r="6" spans="1:11" ht="24" customHeight="1">
      <c r="A6" s="1" t="s">
        <v>37</v>
      </c>
      <c r="B6" s="1"/>
      <c r="C6" s="1"/>
      <c r="D6" s="22">
        <f>ShoppingList!J13</f>
        <v>18.569999999999997</v>
      </c>
      <c r="E6" s="1"/>
      <c r="F6" s="1" t="s">
        <v>38</v>
      </c>
      <c r="G6" s="1"/>
      <c r="H6" s="1"/>
      <c r="I6" s="22">
        <f>Setup!B7</f>
        <v>20</v>
      </c>
      <c r="J6" s="1"/>
      <c r="K6" s="1"/>
    </row>
    <row r="7" spans="1:11" ht="24" customHeight="1">
      <c r="A7" s="1" t="s">
        <v>39</v>
      </c>
      <c r="B7" s="1"/>
      <c r="C7" s="1"/>
      <c r="D7" s="22">
        <f>ROUND(D6/D5,2)</f>
        <v>3.1</v>
      </c>
      <c r="E7" s="1"/>
      <c r="F7" s="1" t="s">
        <v>40</v>
      </c>
      <c r="G7" s="1"/>
      <c r="H7" s="1"/>
      <c r="I7" s="22">
        <f>I6-I5</f>
        <v>-5.620000000000001</v>
      </c>
      <c r="J7" s="1"/>
      <c r="K7" s="1"/>
    </row>
    <row r="8" spans="1:11" ht="24" customHeight="1">
      <c r="A8" s="1"/>
      <c r="B8" s="1"/>
      <c r="C8" s="1"/>
      <c r="D8" s="1"/>
      <c r="E8" s="1"/>
      <c r="F8" s="1" t="s">
        <v>41</v>
      </c>
      <c r="G8" s="1"/>
      <c r="H8" s="1"/>
      <c r="I8" s="10" t="str">
        <f>IF(I5&lt;=I6,"Within budget","Over budget")</f>
        <v>Over budget</v>
      </c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2026-10-05T06:43:16Z</dcterms:modified>
</cp:coreProperties>
</file>