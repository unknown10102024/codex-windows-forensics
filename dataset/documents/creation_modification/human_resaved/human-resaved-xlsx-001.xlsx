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agent2human\"/>
    </mc:Choice>
  </mc:AlternateContent>
  <xr:revisionPtr revIDLastSave="0" documentId="13_ncr:1_{CEE7EB45-A7A0-4C64-9CE8-C436BA1A2C54}" xr6:coauthVersionLast="47" xr6:coauthVersionMax="47" xr10:uidLastSave="{00000000-0000-0000-0000-000000000000}"/>
  <bookViews>
    <workbookView xWindow="6195" yWindow="2970" windowWidth="25410" windowHeight="13545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4" l="1"/>
  <c r="B5" i="4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F6" i="3"/>
  <c r="E6" i="3"/>
  <c r="C6" i="3"/>
  <c r="A6" i="3"/>
  <c r="J3" i="3"/>
  <c r="B3" i="3"/>
  <c r="F10" i="2"/>
  <c r="B10" i="3" s="1"/>
  <c r="D10" i="3" s="1"/>
  <c r="G10" i="3" s="1"/>
  <c r="H10" i="3" s="1"/>
  <c r="F9" i="2"/>
  <c r="B9" i="3" s="1"/>
  <c r="D9" i="3" s="1"/>
  <c r="G9" i="3" s="1"/>
  <c r="H9" i="3" s="1"/>
  <c r="F8" i="2"/>
  <c r="B8" i="3" s="1"/>
  <c r="D8" i="3" s="1"/>
  <c r="G8" i="3" s="1"/>
  <c r="H8" i="3" s="1"/>
  <c r="F7" i="2"/>
  <c r="B7" i="3" s="1"/>
  <c r="D7" i="3" s="1"/>
  <c r="G7" i="3" s="1"/>
  <c r="H7" i="3" s="1"/>
  <c r="F6" i="2"/>
  <c r="B6" i="3" s="1"/>
  <c r="D6" i="3" s="1"/>
  <c r="G6" i="3" s="1"/>
  <c r="H6" i="3" s="1"/>
  <c r="H12" i="3" l="1"/>
  <c r="B8" i="4" s="1"/>
  <c r="I6" i="3"/>
  <c r="I7" i="3"/>
  <c r="I8" i="3"/>
  <c r="I9" i="3"/>
  <c r="I10" i="3"/>
  <c r="G6" i="2"/>
  <c r="J6" i="3" s="1"/>
  <c r="G7" i="2"/>
  <c r="J7" i="3" s="1"/>
  <c r="G8" i="2"/>
  <c r="J8" i="3" s="1"/>
  <c r="G9" i="2"/>
  <c r="J9" i="3" s="1"/>
  <c r="G10" i="2"/>
  <c r="J10" i="3" s="1"/>
  <c r="J12" i="3" l="1"/>
  <c r="B6" i="4" s="1"/>
  <c r="B7" i="4" s="1"/>
  <c r="B11" i="4"/>
  <c r="B10" i="4"/>
</calcChain>
</file>

<file path=xl/sharedStrings.xml><?xml version="1.0" encoding="utf-8"?>
<sst xmlns="http://schemas.openxmlformats.org/spreadsheetml/2006/main" count="57" uniqueCount="51">
  <si>
    <t>Edit the amber cells to update the plan.</t>
  </si>
  <si>
    <t>Setting</t>
  </si>
  <si>
    <t>Value</t>
  </si>
  <si>
    <t>Base recipe servings</t>
  </si>
  <si>
    <t>Recipe quantities are based on 2 servings.</t>
  </si>
  <si>
    <t>Desired servings</t>
  </si>
  <si>
    <t>Choose 1 to 20 whole servings.</t>
  </si>
  <si>
    <t>Shopping budget (USD)</t>
  </si>
  <si>
    <t>Budget applies to whole-package purchases.</t>
  </si>
  <si>
    <t>How costs are calculated</t>
  </si>
  <si>
    <t>Used-ingredient cost</t>
  </si>
  <si>
    <t>Value of all ingredients used, including stock.</t>
  </si>
  <si>
    <t>Purchase cost</t>
  </si>
  <si>
    <t>Cash needed for whole packages after using stock.</t>
  </si>
  <si>
    <t>All quantities are grams. Egg yolks exclude shells and egg whites.</t>
  </si>
  <si>
    <t>Ingredients</t>
  </si>
  <si>
    <t>Source: user-provided illustrative data. Amber cells are editable. All quantities are grams.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</si>
  <si>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</si>
  <si>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</si>
  <si>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</si>
  <si>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</si>
  <si>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</si>
  <si>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</si>
  <si>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</si>
  <si>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</si>
  <si>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</si>
  <si>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</si>
  <si>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</si>
  <si>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</si>
  <si>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Base quantities serve 2. Egg yolks are weighed without shells or egg whites.</t>
  </si>
  <si>
    <t>Used cost = required quantity / package size × package price.</t>
  </si>
  <si>
    <t>Shopping list</t>
  </si>
  <si>
    <t>Amber rows require a purchase. Quantities are grams.</t>
  </si>
  <si>
    <t>Budget (USD)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</si>
  <si>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</si>
  <si>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</si>
  <si>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</si>
  <si>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</si>
  <si>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</si>
  <si>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</si>
  <si>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</t>
  </si>
  <si>
    <t>Packages are rounded up. Stock after cooking = stock + packages bought × package size − required quantity.</t>
  </si>
  <si>
    <t>Change servings and budget on Setup. Update stock and package prices on Ingredients.</t>
  </si>
  <si>
    <t>Total used-ingredient cost</t>
  </si>
  <si>
    <t>Used cost per serving</t>
  </si>
  <si>
    <t>Total purchase cost</t>
  </si>
  <si>
    <t>Shopping budget</t>
  </si>
  <si>
    <t>Budget remaining</t>
  </si>
  <si>
    <t>Budget status</t>
  </si>
  <si>
    <t>Risotto meal planner</t>
  </si>
  <si>
    <t>Risotto cost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</si>
</sst>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>
    <font>
      <sz val="11"/>
      <name val="Carlito"/>
    </font>
    <font>
      <sz val="11"/>
      <color rgb="FF25364A"/>
      <name val="Arial"/>
    </font>
    <font>
      <b/>
      <sz val="17"/>
      <color rgb="FF243B53"/>
      <name val="Arial"/>
    </font>
    <font>
      <i/>
      <sz val="10"/>
      <color rgb="FF62748A"/>
      <name val="Arial"/>
    </font>
    <font>
      <b/>
      <sz val="11"/>
      <color rgb="FFFFFFFF"/>
      <name val="Arial"/>
    </font>
    <font>
      <sz val="11"/>
      <color rgb="FF2454A4"/>
      <name val="Arial"/>
    </font>
    <font>
      <b/>
      <sz val="11"/>
      <color rgb="FF25364A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3CE"/>
      </patternFill>
    </fill>
    <fill>
      <patternFill patternType="solid">
        <fgColor rgb="FFF2F5F8"/>
      </patternFill>
    </fill>
  </fills>
  <borders count="6">
    <border>
      <left/>
      <right/>
      <top/>
      <bottom/>
      <diagonal/>
    </border>
    <border>
      <left/>
      <right/>
      <top/>
      <bottom style="thin">
        <color rgb="FFCAD4D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CAD4D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right" vertical="center"/>
    </xf>
    <xf numFmtId="1" fontId="5" fillId="3" borderId="0" xfId="0" applyNumberFormat="1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1" fillId="4" borderId="0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vertical="center"/>
    </xf>
    <xf numFmtId="165" fontId="5" fillId="3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4" borderId="0" xfId="0" applyNumberFormat="1" applyFont="1" applyFill="1" applyBorder="1" applyAlignment="1">
      <alignment vertical="center"/>
    </xf>
    <xf numFmtId="164" fontId="6" fillId="4" borderId="0" xfId="0" applyNumberFormat="1" applyFont="1" applyFill="1" applyBorder="1" applyAlignment="1">
      <alignment horizontal="right" vertical="center"/>
    </xf>
    <xf numFmtId="0" fontId="6" fillId="4" borderId="5" xfId="0" applyNumberFormat="1" applyFont="1" applyFill="1" applyBorder="1" applyAlignment="1">
      <alignment vertical="center"/>
    </xf>
    <xf numFmtId="0" fontId="6" fillId="4" borderId="5" xfId="0" applyNumberFormat="1" applyFont="1" applyFill="1" applyBorder="1" applyAlignment="1">
      <alignment horizontal="right" vertical="center"/>
    </xf>
    <xf numFmtId="164" fontId="6" fillId="4" borderId="5" xfId="0" applyNumberFormat="1" applyFont="1" applyFill="1" applyBorder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Border="1" applyAlignment="1">
      <alignment horizontal="right" vertical="center"/>
    </xf>
    <xf numFmtId="0" fontId="1" fillId="0" borderId="5" xfId="0" applyNumberFormat="1" applyFont="1" applyFill="1" applyBorder="1" applyAlignment="1">
      <alignment vertical="center"/>
    </xf>
    <xf numFmtId="164" fontId="6" fillId="0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ont>
        <b/>
        <color rgb="FF9C2631"/>
      </font>
      <fill>
        <patternFill patternType="solid">
          <bgColor rgb="FFFCE8E8"/>
        </patternFill>
      </fill>
    </dxf>
    <dxf>
      <font>
        <b/>
        <color rgb="FF9C2631"/>
      </font>
      <fill>
        <patternFill patternType="solid">
          <bgColor rgb="FFFCE8E8"/>
        </patternFill>
      </fill>
    </dxf>
    <dxf>
      <font>
        <b/>
        <color rgb="FF9C2631"/>
      </font>
      <fill>
        <patternFill patternType="solid">
          <bgColor rgb="FFFCE8E8"/>
        </patternFill>
      </fill>
    </dxf>
    <dxf>
      <font>
        <b/>
        <color rgb="FF9C2631"/>
      </font>
      <fill>
        <patternFill patternType="solid">
          <bgColor rgb="FFFCE8E8"/>
        </patternFill>
      </fill>
    </dxf>
    <dxf>
      <fill>
        <patternFill patternType="solid">
          <bgColor rgb="FFFFF0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406A8A"/>
            </a:solidFill>
          </c:spPr>
          <c:invertIfNegative val="1"/>
          <c:cat>
            <c:strRef>
              <c:f>ShoppingList!$A$6:$A$10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ShoppingList!$H$6:$H$10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5D5-4F5F-921F-7AA5C1FCE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Used-ingredient cost (USD)</c:v>
          </c:tx>
          <c:cat>
            <c:strRef>
              <c:f>Ingredients!$A$6:$A$10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Ingredients!$G$6:$G$10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9-47AF-85F2-06B7EEC38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16</xdr:row>
      <xdr:rowOff>114300</xdr:rowOff>
    </xdr:from>
    <xdr:to>
      <xdr:col>0</xdr:col>
      <xdr:colOff>1914525</xdr:colOff>
      <xdr:row>18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C628ABF-AEBD-4E2D-B949-ACCE8F987CAF}"/>
            </a:ext>
          </a:extLst>
        </xdr:cNvPr>
        <xdr:cNvSpPr/>
      </xdr:nvSpPr>
      <xdr:spPr>
        <a:xfrm>
          <a:off x="66675" y="5295900"/>
          <a:ext cx="1847850" cy="6762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Table" displayName="IngredientsTable" ref="A5:G10" totalsRowShown="0">
  <autoFilter ref="A5:G10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6728C"/>
  </sheetPr>
  <dimension ref="A1:D18"/>
  <sheetViews>
    <sheetView showGridLines="0" tabSelected="1" topLeftCell="A4" workbookViewId="0">
      <selection activeCell="D18" sqref="D18"/>
    </sheetView>
  </sheetViews>
  <sheetFormatPr defaultRowHeight="14.25"/>
  <cols>
    <col min="1" max="1" width="29" customWidth="1"/>
    <col min="2" max="2" width="18" customWidth="1"/>
    <col min="3" max="3" width="4" customWidth="1"/>
    <col min="4" max="4" width="66" customWidth="1"/>
  </cols>
  <sheetData>
    <row r="1" spans="1:4" ht="9" customHeight="1">
      <c r="A1" s="1"/>
      <c r="B1" s="1"/>
      <c r="C1" s="1"/>
      <c r="D1" s="1"/>
    </row>
    <row r="2" spans="1:4" ht="32.1" customHeight="1">
      <c r="A2" s="2" t="s">
        <v>49</v>
      </c>
      <c r="B2" s="3"/>
      <c r="C2" s="3"/>
      <c r="D2" s="3"/>
    </row>
    <row r="3" spans="1:4" ht="24.95" customHeight="1">
      <c r="A3" s="4" t="s">
        <v>0</v>
      </c>
      <c r="B3" s="1"/>
      <c r="C3" s="1"/>
      <c r="D3" s="1"/>
    </row>
    <row r="4" spans="1:4" ht="24.95" customHeight="1">
      <c r="A4" s="1"/>
      <c r="B4" s="1"/>
      <c r="C4" s="1"/>
      <c r="D4" s="1"/>
    </row>
    <row r="5" spans="1:4" ht="27.95" customHeight="1">
      <c r="A5" s="5" t="s">
        <v>1</v>
      </c>
      <c r="B5" s="6" t="s">
        <v>2</v>
      </c>
      <c r="C5" s="1"/>
      <c r="D5" s="1"/>
    </row>
    <row r="6" spans="1:4" ht="30.95" customHeight="1">
      <c r="A6" s="1" t="s">
        <v>3</v>
      </c>
      <c r="B6" s="12">
        <v>2</v>
      </c>
      <c r="C6" s="1"/>
      <c r="D6" s="1" t="s">
        <v>4</v>
      </c>
    </row>
    <row r="7" spans="1:4" ht="30.95" customHeight="1">
      <c r="A7" s="1" t="s">
        <v>5</v>
      </c>
      <c r="B7" s="10">
        <v>6</v>
      </c>
      <c r="C7" s="1"/>
      <c r="D7" s="1" t="s">
        <v>6</v>
      </c>
    </row>
    <row r="8" spans="1:4" ht="30.95" customHeight="1">
      <c r="A8" s="1" t="s">
        <v>7</v>
      </c>
      <c r="B8" s="11">
        <v>20</v>
      </c>
      <c r="C8" s="1"/>
      <c r="D8" s="1" t="s">
        <v>8</v>
      </c>
    </row>
    <row r="9" spans="1:4" ht="24.95" customHeight="1">
      <c r="A9" s="1"/>
      <c r="B9" s="1"/>
      <c r="C9" s="1"/>
      <c r="D9" s="1"/>
    </row>
    <row r="10" spans="1:4" ht="24.95" customHeight="1">
      <c r="A10" s="1"/>
      <c r="B10" s="1"/>
      <c r="C10" s="1"/>
      <c r="D10" s="1"/>
    </row>
    <row r="11" spans="1:4" ht="24.95" customHeight="1">
      <c r="A11" s="13" t="s">
        <v>9</v>
      </c>
      <c r="B11" s="1"/>
      <c r="C11" s="1"/>
      <c r="D11" s="1"/>
    </row>
    <row r="12" spans="1:4" ht="24.95" customHeight="1">
      <c r="A12" s="1" t="s">
        <v>10</v>
      </c>
      <c r="B12" s="1" t="s">
        <v>11</v>
      </c>
      <c r="C12" s="1"/>
      <c r="D12" s="1"/>
    </row>
    <row r="13" spans="1:4" ht="24.95" customHeight="1">
      <c r="A13" s="1" t="s">
        <v>12</v>
      </c>
      <c r="B13" s="1" t="s">
        <v>13</v>
      </c>
      <c r="C13" s="1"/>
      <c r="D13" s="1"/>
    </row>
    <row r="14" spans="1:4" ht="24.95" customHeight="1">
      <c r="A14" s="1"/>
      <c r="B14" s="1"/>
      <c r="C14" s="1"/>
      <c r="D14" s="1"/>
    </row>
    <row r="15" spans="1:4" ht="24.95" customHeight="1">
      <c r="A15" s="1"/>
      <c r="B15" s="1"/>
      <c r="C15" s="1"/>
      <c r="D15" s="1"/>
    </row>
    <row r="16" spans="1:4" ht="24.95" customHeight="1">
      <c r="A16" s="4" t="s">
        <v>14</v>
      </c>
      <c r="B16" s="1"/>
      <c r="C16" s="1"/>
      <c r="D16" s="1"/>
    </row>
    <row r="17" spans="1:4" ht="24.95" customHeight="1">
      <c r="A17" s="1"/>
      <c r="B17" s="1"/>
      <c r="C17" s="1"/>
      <c r="D17" s="1"/>
    </row>
    <row r="18" spans="1:4" ht="24.95" customHeight="1">
      <c r="A18" s="1"/>
      <c r="B18" s="1"/>
      <c r="C18" s="1"/>
      <c r="D18" s="1"/>
    </row>
  </sheetData>
  <dataValidations count="2">
    <dataValidation type="whole" showErrorMessage="1" errorTitle="Whole servings required" error="Enter a whole number from 1 through 20." sqref="B7" xr:uid="{00000000-0002-0000-0000-000000000000}">
      <formula1>1</formula1>
      <formula2>20</formula2>
    </dataValidation>
    <dataValidation type="decimal" operator="greaterThanOrEqual" showErrorMessage="1" errorTitle="Nonnegative number required" error="Enter the budget as a number greater than or equal to zero." sqref="B8" xr:uid="{00000000-0002-0000-0000-000001000000}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5" customWidth="1"/>
    <col min="2" max="6" width="18" customWidth="1"/>
    <col min="7" max="7" width="21" customWidth="1"/>
  </cols>
  <sheetData>
    <row r="1" spans="1:7" ht="9" customHeight="1">
      <c r="A1" s="1"/>
      <c r="B1" s="1"/>
      <c r="C1" s="1"/>
      <c r="D1" s="1"/>
      <c r="E1" s="1"/>
      <c r="F1" s="1"/>
      <c r="G1" s="1"/>
    </row>
    <row r="2" spans="1:7" ht="32.1" customHeight="1">
      <c r="A2" s="2" t="s">
        <v>15</v>
      </c>
      <c r="B2" s="3"/>
      <c r="C2" s="3"/>
      <c r="D2" s="3"/>
      <c r="E2" s="3"/>
      <c r="F2" s="3"/>
      <c r="G2" s="3"/>
    </row>
    <row r="3" spans="1:7" ht="24.95" customHeight="1">
      <c r="A3" s="4" t="s">
        <v>16</v>
      </c>
      <c r="B3" s="1"/>
      <c r="C3" s="1"/>
      <c r="D3" s="1"/>
      <c r="E3" s="1"/>
      <c r="F3" s="1"/>
      <c r="G3" s="1"/>
    </row>
    <row r="4" spans="1:7" ht="24.95" customHeight="1">
      <c r="A4" s="1"/>
      <c r="B4" s="1"/>
      <c r="C4" s="1"/>
      <c r="D4" s="1"/>
      <c r="E4" s="1"/>
      <c r="F4" s="1"/>
      <c r="G4" s="1"/>
    </row>
    <row r="5" spans="1:7" ht="45.95" customHeight="1">
      <c r="A5" s="5" t="s">
        <v>17</v>
      </c>
      <c r="B5" s="14" t="s">
        <v>18</v>
      </c>
      <c r="C5" s="14" t="s">
        <v>19</v>
      </c>
      <c r="D5" s="14" t="s">
        <v>20</v>
      </c>
      <c r="E5" s="14" t="s">
        <v>21</v>
      </c>
      <c r="F5" s="14" t="s">
        <v>22</v>
      </c>
      <c r="G5" s="6" t="s">
        <v>23</v>
      </c>
    </row>
    <row r="6" spans="1:7" ht="30.95" customHeight="1">
      <c r="A6" s="7" t="s">
        <v>24</v>
      </c>
      <c r="B6" s="16">
        <v>200</v>
      </c>
      <c r="C6" s="16">
        <v>100</v>
      </c>
      <c r="D6" s="16">
        <v>500</v>
      </c>
      <c r="E6" s="11">
        <v>2.5</v>
      </c>
      <c r="F6" s="17">
        <f>B6*Setup!$B$7/Setup!$B$6</f>
        <v>600</v>
      </c>
      <c r="G6" s="18">
        <f>F6/D6*E6</f>
        <v>3</v>
      </c>
    </row>
    <row r="7" spans="1:7" ht="30.95" customHeight="1">
      <c r="A7" s="7" t="s">
        <v>25</v>
      </c>
      <c r="B7" s="16">
        <v>80</v>
      </c>
      <c r="C7" s="16">
        <v>20</v>
      </c>
      <c r="D7" s="16">
        <v>100</v>
      </c>
      <c r="E7" s="11">
        <v>4</v>
      </c>
      <c r="F7" s="17">
        <f>B7*Setup!$B$7/Setup!$B$6</f>
        <v>240</v>
      </c>
      <c r="G7" s="18">
        <f>F7/D7*E7</f>
        <v>9.6</v>
      </c>
    </row>
    <row r="8" spans="1:7" ht="30.95" customHeight="1">
      <c r="A8" s="7" t="s">
        <v>26</v>
      </c>
      <c r="B8" s="16">
        <v>36</v>
      </c>
      <c r="C8" s="16">
        <v>0</v>
      </c>
      <c r="D8" s="16">
        <v>36</v>
      </c>
      <c r="E8" s="11">
        <v>0.54</v>
      </c>
      <c r="F8" s="17">
        <f>B8*Setup!$B$7/Setup!$B$6</f>
        <v>108</v>
      </c>
      <c r="G8" s="18">
        <f>F8/D8*E8</f>
        <v>1.62</v>
      </c>
    </row>
    <row r="9" spans="1:7" ht="30.95" customHeight="1">
      <c r="A9" s="7" t="s">
        <v>27</v>
      </c>
      <c r="B9" s="16">
        <v>40</v>
      </c>
      <c r="C9" s="16">
        <v>10</v>
      </c>
      <c r="D9" s="16">
        <v>100</v>
      </c>
      <c r="E9" s="11">
        <v>3.5</v>
      </c>
      <c r="F9" s="17">
        <f>B9*Setup!$B$7/Setup!$B$6</f>
        <v>120</v>
      </c>
      <c r="G9" s="18">
        <f>F9/D9*E9</f>
        <v>4.2</v>
      </c>
    </row>
    <row r="10" spans="1:7" ht="30.95" customHeight="1">
      <c r="A10" s="7" t="s">
        <v>28</v>
      </c>
      <c r="B10" s="16">
        <v>1</v>
      </c>
      <c r="C10" s="16">
        <v>2</v>
      </c>
      <c r="D10" s="16">
        <v>50</v>
      </c>
      <c r="E10" s="11">
        <v>2.5</v>
      </c>
      <c r="F10" s="17">
        <f>B10*Setup!$B$7/Setup!$B$6</f>
        <v>3</v>
      </c>
      <c r="G10" s="18">
        <f>F10/D10*E10</f>
        <v>0.15</v>
      </c>
    </row>
    <row r="11" spans="1:7" ht="24.95" customHeight="1">
      <c r="A11" s="1"/>
      <c r="B11" s="1"/>
      <c r="C11" s="1"/>
      <c r="D11" s="1"/>
      <c r="E11" s="1"/>
      <c r="F11" s="1"/>
      <c r="G11" s="1"/>
    </row>
    <row r="12" spans="1:7" ht="24.95" customHeight="1">
      <c r="A12" s="4" t="s">
        <v>29</v>
      </c>
      <c r="B12" s="1"/>
      <c r="C12" s="1"/>
      <c r="D12" s="1"/>
      <c r="E12" s="1"/>
      <c r="F12" s="1"/>
      <c r="G12" s="1"/>
    </row>
    <row r="13" spans="1:7" ht="24.95" customHeight="1">
      <c r="A13" s="4" t="s">
        <v>30</v>
      </c>
      <c r="B13" s="1"/>
      <c r="C13" s="1"/>
      <c r="D13" s="1"/>
      <c r="E13" s="1"/>
      <c r="F13" s="1"/>
      <c r="G13" s="1"/>
    </row>
    <row r="14" spans="1:7" ht="24.95" customHeight="1">
      <c r="A14" s="1"/>
      <c r="B14" s="1"/>
      <c r="C14" s="1"/>
      <c r="D14" s="1"/>
      <c r="E14" s="1"/>
      <c r="F14" s="1"/>
      <c r="G14" s="1"/>
    </row>
  </sheetData>
  <dataValidations count="3">
    <dataValidation type="decimal" operator="greaterThanOrEqual" showErrorMessage="1" errorTitle="Nonnegative number required" error="Enter the quantity as a number greater than or equal to zero." sqref="B6:C10" xr:uid="{00000000-0002-0000-0100-000000000000}">
      <formula1>0</formula1>
    </dataValidation>
    <dataValidation type="decimal" operator="greaterThanOrEqual" showErrorMessage="1" errorTitle="Nonnegative number required" error="Enter the package price as a number greater than or equal to zero." sqref="E6:E10" xr:uid="{00000000-0002-0000-0100-000001000000}">
      <formula1>0</formula1>
    </dataValidation>
    <dataValidation type="decimal" operator="greaterThan" showErrorMessage="1" errorTitle="Positive size required" error="Enter a package size greater than zero grams." sqref="D6:D10" xr:uid="{00000000-0002-0000-01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5" customWidth="1"/>
    <col min="2" max="5" width="15" customWidth="1"/>
    <col min="6" max="6" width="16" customWidth="1"/>
    <col min="7" max="7" width="13" customWidth="1"/>
    <col min="8" max="10" width="18" customWidth="1"/>
  </cols>
  <sheetData>
    <row r="1" spans="1:10" ht="9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.1" customHeight="1">
      <c r="A2" s="2" t="s">
        <v>31</v>
      </c>
      <c r="B2" s="3"/>
      <c r="C2" s="3"/>
      <c r="D2" s="3"/>
      <c r="E2" s="3"/>
      <c r="F2" s="3"/>
      <c r="G2" s="3"/>
      <c r="H2" s="3"/>
      <c r="I2" s="3"/>
      <c r="J2" s="3"/>
    </row>
    <row r="3" spans="1:10" ht="24.95" customHeight="1">
      <c r="A3" s="1" t="s">
        <v>5</v>
      </c>
      <c r="B3" s="8">
        <f>Setup!B7</f>
        <v>6</v>
      </c>
      <c r="C3" s="1"/>
      <c r="D3" s="4" t="s">
        <v>32</v>
      </c>
      <c r="E3" s="1"/>
      <c r="F3" s="1"/>
      <c r="G3" s="1"/>
      <c r="H3" s="1"/>
      <c r="I3" s="1" t="s">
        <v>33</v>
      </c>
      <c r="J3" s="15">
        <f>Setup!B8</f>
        <v>20</v>
      </c>
    </row>
    <row r="4" spans="1:10" ht="24.9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62.1" customHeight="1">
      <c r="A5" s="5" t="s">
        <v>17</v>
      </c>
      <c r="B5" s="14" t="s">
        <v>34</v>
      </c>
      <c r="C5" s="14" t="s">
        <v>35</v>
      </c>
      <c r="D5" s="14" t="s">
        <v>36</v>
      </c>
      <c r="E5" s="14" t="s">
        <v>20</v>
      </c>
      <c r="F5" s="14" t="s">
        <v>21</v>
      </c>
      <c r="G5" s="14" t="s">
        <v>37</v>
      </c>
      <c r="H5" s="14" t="s">
        <v>38</v>
      </c>
      <c r="I5" s="14" t="s">
        <v>39</v>
      </c>
      <c r="J5" s="6" t="s">
        <v>23</v>
      </c>
    </row>
    <row r="6" spans="1:10" ht="30.95" customHeight="1">
      <c r="A6" s="1" t="str">
        <f>Ingredients!A6</f>
        <v>Spaghetti (dry)</v>
      </c>
      <c r="B6" s="17">
        <f>Ingredients!F6</f>
        <v>600</v>
      </c>
      <c r="C6" s="17">
        <f>Ingredients!C6</f>
        <v>100</v>
      </c>
      <c r="D6" s="17">
        <f>MAX(B6-C6,0)</f>
        <v>500</v>
      </c>
      <c r="E6" s="17">
        <f>Ingredients!D6</f>
        <v>500</v>
      </c>
      <c r="F6" s="18">
        <f>Ingredients!E6</f>
        <v>2.5</v>
      </c>
      <c r="G6" s="9">
        <f>ROUNDUP(D6/E6,0)</f>
        <v>1</v>
      </c>
      <c r="H6" s="18">
        <f>G6*F6</f>
        <v>2.5</v>
      </c>
      <c r="I6" s="17">
        <f>C6+G6*E6-B6</f>
        <v>0</v>
      </c>
      <c r="J6" s="18">
        <f>Ingredients!G6</f>
        <v>3</v>
      </c>
    </row>
    <row r="7" spans="1:10" ht="30.95" customHeight="1">
      <c r="A7" s="1" t="str">
        <f>Ingredients!A7</f>
        <v>Guanciale</v>
      </c>
      <c r="B7" s="17">
        <f>Ingredients!F7</f>
        <v>240</v>
      </c>
      <c r="C7" s="17">
        <f>Ingredients!C7</f>
        <v>20</v>
      </c>
      <c r="D7" s="17">
        <f>MAX(B7-C7,0)</f>
        <v>220</v>
      </c>
      <c r="E7" s="17">
        <f>Ingredients!D7</f>
        <v>100</v>
      </c>
      <c r="F7" s="18">
        <f>Ingredients!E7</f>
        <v>4</v>
      </c>
      <c r="G7" s="9">
        <f>ROUNDUP(D7/E7,0)</f>
        <v>3</v>
      </c>
      <c r="H7" s="18">
        <f>G7*F7</f>
        <v>12</v>
      </c>
      <c r="I7" s="17">
        <f>C7+G7*E7-B7</f>
        <v>80</v>
      </c>
      <c r="J7" s="18">
        <f>Ingredients!G7</f>
        <v>9.6</v>
      </c>
    </row>
    <row r="8" spans="1:10" ht="30.95" customHeight="1">
      <c r="A8" s="1" t="str">
        <f>Ingredients!A8</f>
        <v>Egg yolks</v>
      </c>
      <c r="B8" s="17">
        <f>Ingredients!F8</f>
        <v>108</v>
      </c>
      <c r="C8" s="17">
        <f>Ingredients!C8</f>
        <v>0</v>
      </c>
      <c r="D8" s="17">
        <f>MAX(B8-C8,0)</f>
        <v>108</v>
      </c>
      <c r="E8" s="17">
        <f>Ingredients!D8</f>
        <v>36</v>
      </c>
      <c r="F8" s="18">
        <f>Ingredients!E8</f>
        <v>0.54</v>
      </c>
      <c r="G8" s="9">
        <f>ROUNDUP(D8/E8,0)</f>
        <v>3</v>
      </c>
      <c r="H8" s="18">
        <f>G8*F8</f>
        <v>1.62</v>
      </c>
      <c r="I8" s="17">
        <f>C8+G8*E8-B8</f>
        <v>0</v>
      </c>
      <c r="J8" s="18">
        <f>Ingredients!G8</f>
        <v>1.62</v>
      </c>
    </row>
    <row r="9" spans="1:10" ht="30.95" customHeight="1">
      <c r="A9" s="1" t="str">
        <f>Ingredients!A9</f>
        <v>Pecorino Romano</v>
      </c>
      <c r="B9" s="17">
        <f>Ingredients!F9</f>
        <v>120</v>
      </c>
      <c r="C9" s="17">
        <f>Ingredients!C9</f>
        <v>10</v>
      </c>
      <c r="D9" s="17">
        <f>MAX(B9-C9,0)</f>
        <v>110</v>
      </c>
      <c r="E9" s="17">
        <f>Ingredients!D9</f>
        <v>100</v>
      </c>
      <c r="F9" s="18">
        <f>Ingredients!E9</f>
        <v>3.5</v>
      </c>
      <c r="G9" s="9">
        <f>ROUNDUP(D9/E9,0)</f>
        <v>2</v>
      </c>
      <c r="H9" s="18">
        <f>G9*F9</f>
        <v>7</v>
      </c>
      <c r="I9" s="17">
        <f>C9+G9*E9-B9</f>
        <v>90</v>
      </c>
      <c r="J9" s="18">
        <f>Ingredients!G9</f>
        <v>4.2</v>
      </c>
    </row>
    <row r="10" spans="1:10" ht="30.95" customHeight="1">
      <c r="A10" s="1" t="str">
        <f>Ingredients!A10</f>
        <v>Black pepper</v>
      </c>
      <c r="B10" s="17">
        <f>Ingredients!F10</f>
        <v>3</v>
      </c>
      <c r="C10" s="17">
        <f>Ingredients!C10</f>
        <v>2</v>
      </c>
      <c r="D10" s="17">
        <f>MAX(B10-C10,0)</f>
        <v>1</v>
      </c>
      <c r="E10" s="17">
        <f>Ingredients!D10</f>
        <v>50</v>
      </c>
      <c r="F10" s="18">
        <f>Ingredients!E10</f>
        <v>2.5</v>
      </c>
      <c r="G10" s="9">
        <f>ROUNDUP(D10/E10,0)</f>
        <v>1</v>
      </c>
      <c r="H10" s="18">
        <f>G10*F10</f>
        <v>2.5</v>
      </c>
      <c r="I10" s="17">
        <f>C10+G10*E10-B10</f>
        <v>49</v>
      </c>
      <c r="J10" s="18">
        <f>Ingredients!G10</f>
        <v>0.15</v>
      </c>
    </row>
    <row r="11" spans="1:10" ht="24.95" customHeight="1">
      <c r="A11" s="1"/>
      <c r="B11" s="19"/>
      <c r="C11" s="19"/>
      <c r="D11" s="19"/>
      <c r="E11" s="19"/>
      <c r="F11" s="19"/>
      <c r="G11" s="19"/>
      <c r="H11" s="18"/>
      <c r="I11" s="19"/>
      <c r="J11" s="18"/>
    </row>
    <row r="12" spans="1:10" ht="30.95" customHeight="1">
      <c r="A12" s="22" t="s">
        <v>40</v>
      </c>
      <c r="B12" s="23"/>
      <c r="C12" s="23"/>
      <c r="D12" s="23"/>
      <c r="E12" s="23"/>
      <c r="F12" s="23"/>
      <c r="G12" s="23"/>
      <c r="H12" s="24">
        <f>SUM(H6:H10)</f>
        <v>25.62</v>
      </c>
      <c r="I12" s="23"/>
      <c r="J12" s="24">
        <f>SUM(J6:J10)</f>
        <v>18.569999999999997</v>
      </c>
    </row>
    <row r="13" spans="1:10" ht="24.9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.95" customHeight="1">
      <c r="A14" s="4" t="s">
        <v>41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4.9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6:J10">
    <cfRule type="expression" dxfId="4" priority="1">
      <formula>$G6&gt;0</formula>
    </cfRule>
  </conditionalFormatting>
  <conditionalFormatting sqref="H12">
    <cfRule type="expression" dxfId="3" priority="2">
      <formula>$H$12&gt;$J$3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3B53"/>
  </sheetPr>
  <dimension ref="A1:M33"/>
  <sheetViews>
    <sheetView showGridLines="0" workbookViewId="0"/>
  </sheetViews>
  <sheetFormatPr defaultRowHeight="14.25"/>
  <cols>
    <col min="1" max="1" width="33" customWidth="1"/>
    <col min="2" max="2" width="20" customWidth="1"/>
    <col min="3" max="6" width="9" customWidth="1"/>
    <col min="7" max="7" width="3" customWidth="1"/>
    <col min="8" max="13" width="13" customWidth="1"/>
  </cols>
  <sheetData>
    <row r="1" spans="1:13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.1" customHeight="1">
      <c r="A2" s="2" t="s">
        <v>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4.95" customHeight="1">
      <c r="A3" s="4" t="s">
        <v>42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9.1" customHeight="1">
      <c r="A5" s="1" t="s">
        <v>5</v>
      </c>
      <c r="B5" s="25">
        <f>Setup!B7</f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9.1" customHeight="1">
      <c r="A6" s="1" t="s">
        <v>43</v>
      </c>
      <c r="B6" s="26">
        <f>ShoppingList!J12</f>
        <v>18.569999999999997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9.1" customHeight="1">
      <c r="A7" s="1" t="s">
        <v>44</v>
      </c>
      <c r="B7" s="26">
        <f>ROUND(B6/B5,10)</f>
        <v>3.0950000000000002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9.1" customHeight="1">
      <c r="A8" s="20" t="s">
        <v>45</v>
      </c>
      <c r="B8" s="21">
        <f>ShoppingList!H12</f>
        <v>25.62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9.1" customHeight="1">
      <c r="A9" s="1" t="s">
        <v>46</v>
      </c>
      <c r="B9" s="26">
        <f>Setup!B8</f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9.1" customHeight="1">
      <c r="A10" s="27" t="s">
        <v>47</v>
      </c>
      <c r="B10" s="28">
        <f>B9-B8</f>
        <v>-5.620000000000001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9.1" customHeight="1">
      <c r="A11" s="1" t="s">
        <v>48</v>
      </c>
      <c r="B11" s="13" t="str">
        <f>IF(B8&lt;=B9,"Within budget","Over budget")</f>
        <v>Over budget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4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4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4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4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4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4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4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4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4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4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4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4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4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4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4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4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4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4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4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4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4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4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conditionalFormatting sqref="B8">
    <cfRule type="expression" dxfId="2" priority="1">
      <formula>$B$8&gt;$B$9</formula>
    </cfRule>
  </conditionalFormatting>
  <conditionalFormatting sqref="B10">
    <cfRule type="cellIs" dxfId="1" priority="2" operator="lessThan">
      <formula>0</formula>
    </cfRule>
  </conditionalFormatting>
  <conditionalFormatting sqref="B11">
    <cfRule type="expression" dxfId="0" priority="3">
      <formula>$B$8&gt;$B$9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2026-10-05T06:24:46Z</dcterms:modified>
</cp:coreProperties>
</file>