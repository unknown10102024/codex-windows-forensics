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human_gui\"/>
    </mc:Choice>
  </mc:AlternateContent>
  <xr:revisionPtr revIDLastSave="0" documentId="8_{010E82BD-8468-41FA-A3CB-842BC6EA0B92}" xr6:coauthVersionLast="47" xr6:coauthVersionMax="47" xr10:uidLastSave="{00000000-0000-0000-0000-000000000000}"/>
  <bookViews>
    <workbookView xWindow="6540" yWindow="3315" windowWidth="25410" windowHeight="13545" xr2:uid="{8F4CCF23-65CC-4D24-A0C9-5A9C43E71596}"/>
  </bookViews>
  <sheets>
    <sheet name="Setup" sheetId="1" r:id="rId1"/>
    <sheet name="Ingredients" sheetId="2" r:id="rId2"/>
    <sheet name="ShoppingList" sheetId="3" r:id="rId3"/>
    <sheet name="Dashboard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3" l="1"/>
  <c r="I6" i="4"/>
  <c r="I7" i="4" s="1"/>
  <c r="D6" i="4"/>
  <c r="D7" i="4" s="1"/>
  <c r="I5" i="4"/>
  <c r="I8" i="4" s="1"/>
  <c r="D5" i="4"/>
  <c r="J11" i="3"/>
  <c r="F11" i="3"/>
  <c r="E11" i="3"/>
  <c r="C11" i="3"/>
  <c r="D11" i="3"/>
  <c r="G11" i="3" s="1"/>
  <c r="H11" i="3" s="1"/>
  <c r="A11" i="3"/>
  <c r="J10" i="3"/>
  <c r="F10" i="3"/>
  <c r="E10" i="3"/>
  <c r="C10" i="3"/>
  <c r="I10" i="3" s="1"/>
  <c r="B10" i="3"/>
  <c r="D10" i="3" s="1"/>
  <c r="G10" i="3" s="1"/>
  <c r="H10" i="3" s="1"/>
  <c r="A10" i="3"/>
  <c r="J9" i="3"/>
  <c r="F9" i="3"/>
  <c r="E9" i="3"/>
  <c r="C9" i="3"/>
  <c r="I9" i="3" s="1"/>
  <c r="B9" i="3"/>
  <c r="D9" i="3" s="1"/>
  <c r="G9" i="3" s="1"/>
  <c r="H9" i="3" s="1"/>
  <c r="A9" i="3"/>
  <c r="J8" i="3"/>
  <c r="F8" i="3"/>
  <c r="E8" i="3"/>
  <c r="C8" i="3"/>
  <c r="I8" i="3" s="1"/>
  <c r="B8" i="3"/>
  <c r="D8" i="3" s="1"/>
  <c r="G8" i="3" s="1"/>
  <c r="H8" i="3" s="1"/>
  <c r="A8" i="3"/>
  <c r="J7" i="3"/>
  <c r="J13" i="3" s="1"/>
  <c r="F7" i="3"/>
  <c r="E7" i="3"/>
  <c r="C7" i="3"/>
  <c r="I7" i="3" s="1"/>
  <c r="B7" i="3"/>
  <c r="D7" i="3" s="1"/>
  <c r="G7" i="3" s="1"/>
  <c r="H7" i="3" s="1"/>
  <c r="H13" i="3" s="1"/>
  <c r="A7" i="3"/>
  <c r="B3" i="3"/>
  <c r="G11" i="2"/>
  <c r="F11" i="2"/>
  <c r="G10" i="2"/>
  <c r="F10" i="2"/>
  <c r="G9" i="2"/>
  <c r="F9" i="2"/>
  <c r="G8" i="2"/>
  <c r="F8" i="2"/>
  <c r="G7" i="2"/>
  <c r="F7" i="2"/>
  <c r="I11" i="3" l="1"/>
</calcChain>
</file>

<file path=xl/sharedStrings.xml><?xml version="1.0" encoding="utf-8"?>
<sst xmlns="http://schemas.openxmlformats.org/spreadsheetml/2006/main" count="53" uniqueCount="46">
  <si>
    <t>Risotto meal setup</t>
  </si>
  <si>
    <t>Setting</t>
  </si>
  <si>
    <t>Value</t>
  </si>
  <si>
    <t>Base recipe servings</t>
  </si>
  <si>
    <t>Recipe quantities are based on 2 servings.</t>
  </si>
  <si>
    <t>Desired servings</t>
  </si>
  <si>
    <t>Edit this cell. Whole numbers from 1 to 20.</t>
  </si>
  <si>
    <t>Shopping budget (USD)</t>
  </si>
  <si>
    <t>Edit this cell. Enter a nonnegative amount in USD.</t>
  </si>
  <si>
    <t>Using this workbook</t>
  </si>
  <si>
    <t>Yellow cells are editable inputs. Update recipe quantities, stock and package prices on Ingredients.</t>
  </si>
  <si>
    <t>Used-ingredient cost values all ingredients consumed, including ingredients already in stock.</t>
  </si>
  <si>
    <t>Purchase cost is the cost of whole packages needed after using available stock.</t>
  </si>
  <si>
    <t>All quantities and package sizes are in grams. All costs are in USD.</t>
  </si>
  <si>
    <t>Risotto ingredients</t>
  </si>
  <si>
    <t>Source: user-provided illustrative recipe quantities and package prices.</t>
  </si>
  <si>
    <t>Yellow cells are editable. Egg yolks are weighed without shells or egg whites.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</si>
  <si>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</si>
  <si>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</si>
  <si>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</si>
  <si>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</si>
  <si>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</si>
  <si>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</si>
  <si>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</si>
  <si>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</si>
  <si>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</si>
  <si>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</si>
  <si>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</si>
  <si>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</si>
  <si>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Risotto shopping list</t>
  </si>
  <si>
    <t>Highlighted rows require a purchase. Ingredients with zero purchases remain visible.</t>
  </si>
  <si>
    <t>Required (g)</t>
  </si>
  <si>
    <t>Stock (g)</t>
  </si>
  <si>
    <t>Additional needed (g)</t>
  </si>
  <si>
    <t>Packages to buy</t>
  </si>
  <si>
    <t>Purchase cost (USD)</t>
  </si>
  <si>
    <t>Stock after cooking (g)</t>
  </si>
  <si>
    <t>Total cost (USD)</t>
  </si>
  <si>
    <t>Risotto cost dashboard</t>
  </si>
  <si>
    <t>Meal cost (USD)</t>
  </si>
  <si>
    <t>Total purchase cost</t>
  </si>
  <si>
    <t>Total used-ingredient cost</t>
  </si>
  <si>
    <t>Budget</t>
  </si>
  <si>
    <t>Used-ingredient cost per serving</t>
  </si>
  <si>
    <t>Budget remaining</t>
  </si>
  <si>
    <t>Budget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</si>
</sst>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;[Red]\(#,##0.0\);0.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53341"/>
      <name val="Arial"/>
    </font>
    <font>
      <b/>
      <sz val="16"/>
      <color rgb="FF304B63"/>
      <name val="Arial"/>
    </font>
    <font>
      <b/>
      <sz val="11"/>
      <color rgb="FFFFFFFF"/>
      <name val="Arial"/>
    </font>
    <font>
      <b/>
      <sz val="11"/>
      <color rgb="FF253341"/>
      <name val="Arial"/>
    </font>
    <font>
      <i/>
      <sz val="11"/>
      <color rgb="FF64748B"/>
      <name val="Arial"/>
    </font>
  </fonts>
  <fills count="6">
    <fill>
      <patternFill patternType="none"/>
    </fill>
    <fill>
      <patternFill patternType="gray125"/>
    </fill>
    <fill>
      <patternFill patternType="solid">
        <fgColor rgb="FF304B63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EDF2F6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304B63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1" fontId="5" fillId="3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5" fillId="5" borderId="4" xfId="0" applyFont="1" applyFill="1" applyBorder="1" applyAlignment="1">
      <alignment vertical="center"/>
    </xf>
    <xf numFmtId="164" fontId="5" fillId="5" borderId="4" xfId="0" applyNumberFormat="1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164" fontId="5" fillId="0" borderId="0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4">
    <dxf>
      <font>
        <color rgb="FF9C2531"/>
      </font>
      <fill>
        <patternFill patternType="solid">
          <bgColor rgb="FFFCE8E8"/>
        </patternFill>
      </fill>
    </dxf>
    <dxf>
      <font>
        <color rgb="FF9C2531"/>
      </font>
      <fill>
        <patternFill patternType="solid">
          <bgColor rgb="FFFCE8E8"/>
        </patternFill>
      </fill>
    </dxf>
    <dxf>
      <font>
        <b/>
        <color rgb="FF9C2531"/>
      </font>
      <fill>
        <patternFill patternType="solid">
          <bgColor rgb="FFFCE8E8"/>
        </patternFill>
      </fill>
    </dxf>
    <dxf>
      <fill>
        <patternFill patternType="solid">
          <bgColor rgb="FFFFF0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304B63"/>
            </a:solidFill>
          </c:spPr>
          <c:invertIfNegative val="1"/>
          <c:cat>
            <c:strRef>
              <c:f>[1]ShoppingList!$A$7:$A$11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[1]ShoppingList!$H$7:$H$11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3CD-4604-B65B-63259FC0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Used-ingredient cost (USD)</c:v>
          </c:tx>
          <c:cat>
            <c:strRef>
              <c:f>[1]Ingredients!$A$7:$A$11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[1]Ingredients!$G$7:$G$11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A-498E-90E2-67BD02402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EF9DED7D-741A-4F32-A04E-52C8FF062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3BD03624-DBB9-4702-A977-88AFD8031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18</xdr:row>
      <xdr:rowOff>0</xdr:rowOff>
    </xdr:from>
    <xdr:ext cx="2286000" cy="952500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286000" cy="952500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/>
        </a:solidFill>
        <a:ln xmlns:a="http://schemas.openxmlformats.org/drawingml/2006/main" w="9525">
          <a:solidFill>
            <a:srgbClr val="FF0000"/>
          </a:solidFill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tmp/CarbonaraCost_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Ingredients"/>
      <sheetName val="ShoppingList"/>
      <sheetName val="Dashboard"/>
    </sheetNames>
    <sheetDataSet>
      <sheetData sheetId="0">
        <row r="5">
          <cell r="B5">
            <v>2</v>
          </cell>
        </row>
        <row r="6">
          <cell r="B6">
            <v>6</v>
          </cell>
        </row>
        <row r="7">
          <cell r="B7">
            <v>20</v>
          </cell>
        </row>
      </sheetData>
      <sheetData sheetId="1">
        <row r="7">
          <cell r="A7" t="str">
            <v>Spaghetti (dry)</v>
          </cell>
          <cell r="C7">
            <v>100</v>
          </cell>
          <cell r="D7">
            <v>500</v>
          </cell>
          <cell r="E7">
            <v>2.5</v>
          </cell>
          <cell r="F7">
            <v>600</v>
          </cell>
          <cell r="G7">
            <v>3</v>
          </cell>
        </row>
        <row r="8">
          <cell r="A8" t="str">
            <v>Guanciale</v>
          </cell>
          <cell r="C8">
            <v>20</v>
          </cell>
          <cell r="D8">
            <v>100</v>
          </cell>
          <cell r="E8">
            <v>4</v>
          </cell>
          <cell r="F8">
            <v>240</v>
          </cell>
          <cell r="G8">
            <v>9.6</v>
          </cell>
        </row>
        <row r="9">
          <cell r="A9" t="str">
            <v>Egg yolks</v>
          </cell>
          <cell r="C9">
            <v>0</v>
          </cell>
          <cell r="D9">
            <v>36</v>
          </cell>
          <cell r="E9">
            <v>0.54</v>
          </cell>
          <cell r="F9">
            <v>108</v>
          </cell>
          <cell r="G9">
            <v>1.62</v>
          </cell>
        </row>
        <row r="10">
          <cell r="A10" t="str">
            <v>Pecorino Romano</v>
          </cell>
          <cell r="C10">
            <v>10</v>
          </cell>
          <cell r="D10">
            <v>100</v>
          </cell>
          <cell r="E10">
            <v>3.5</v>
          </cell>
          <cell r="F10">
            <v>120</v>
          </cell>
          <cell r="G10">
            <v>4.2</v>
          </cell>
        </row>
        <row r="11">
          <cell r="A11" t="str">
            <v>Black pepper</v>
          </cell>
          <cell r="C11">
            <v>2</v>
          </cell>
          <cell r="D11">
            <v>50</v>
          </cell>
          <cell r="E11">
            <v>2.5</v>
          </cell>
          <cell r="F11">
            <v>3</v>
          </cell>
          <cell r="G11">
            <v>0.15</v>
          </cell>
        </row>
      </sheetData>
      <sheetData sheetId="2">
        <row r="7">
          <cell r="A7" t="str">
            <v>Spaghetti (dry)</v>
          </cell>
          <cell r="H7">
            <v>2.5</v>
          </cell>
        </row>
        <row r="8">
          <cell r="A8" t="str">
            <v>Guanciale</v>
          </cell>
          <cell r="H8">
            <v>12</v>
          </cell>
        </row>
        <row r="9">
          <cell r="A9" t="str">
            <v>Egg yolks</v>
          </cell>
          <cell r="H9">
            <v>1.62</v>
          </cell>
        </row>
        <row r="10">
          <cell r="A10" t="str">
            <v>Pecorino Romano</v>
          </cell>
          <cell r="H10">
            <v>7</v>
          </cell>
        </row>
        <row r="11">
          <cell r="A11" t="str">
            <v>Black pepper</v>
          </cell>
          <cell r="H11">
            <v>2.5</v>
          </cell>
        </row>
        <row r="13">
          <cell r="H13">
            <v>25.62</v>
          </cell>
          <cell r="J13">
            <v>18.569999999999997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B5612-E22B-4871-ABC8-C25400539015}" name="IngredientTable" displayName="IngredientTable" ref="A6:G11" totalsRowShown="0">
  <autoFilter ref="A6:G11" xr:uid="{C61B5612-E22B-4871-ABC8-C25400539015}"/>
  <tableColumns count="7">
    <tableColumn id="1" xr3:uid="{0228F3A7-C193-4455-B7F6-776CA6BF57D8}" name="Ingredient"/>
    <tableColumn id="2" xr3:uid="{AE94031B-E9F1-4383-B638-1434A4797B8D}" name="Base quantity for 2 servings (g)"/>
    <tableColumn id="3" xr3:uid="{1F9C3398-61CD-4950-991B-45270EBEB6CA}" name="Stock available (g)"/>
    <tableColumn id="4" xr3:uid="{76A96BF2-7E22-4732-B9D5-0F7DD8865068}" name="Package size (g)"/>
    <tableColumn id="5" xr3:uid="{81D09CAF-29DA-4B54-BA18-54F4FD261BA9}" name="Package price (USD)"/>
    <tableColumn id="6" xr3:uid="{812116BB-070B-47D5-879B-CD62E1F78B5B}" name="Required quantity (g)">
      <calculatedColumnFormula>B7*[1]Setup!$B$6/[1]Setup!$B$5</calculatedColumnFormula>
    </tableColumn>
    <tableColumn id="7" xr3:uid="{AB948B53-F60D-467C-8175-61CA2AF907D7}" name="Used-ingredient cost (USD)">
      <calculatedColumnFormula>F7/D7*E7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0657c4ea81bf4c0d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BC7E-322B-4B3A-9949-65A3EED20D67}">
  <sheetPr>
    <tabColor theme="3" tint="0.39997558519241921"/>
  </sheetPr>
  <dimension ref="A1:D17"/>
  <sheetViews>
    <sheetView tabSelected="1" workbookViewId="0">
      <selection activeCell="B23" sqref="B23"/>
    </sheetView>
  </sheetViews>
  <sheetFormatPr defaultRowHeight="15" x14ac:dyDescent="0.25"/>
  <cols>
    <col min="1" max="1" width="35.42578125" customWidth="1"/>
    <col min="2" max="2" width="20.5703125" customWidth="1"/>
    <col min="3" max="3" width="4.5703125" customWidth="1"/>
    <col min="4" max="4" width="78.85546875" customWidth="1"/>
  </cols>
  <sheetData>
    <row r="1" spans="1:4" x14ac:dyDescent="0.25">
      <c r="A1" s="1"/>
      <c r="B1" s="1"/>
      <c r="C1" s="1"/>
      <c r="D1" s="1"/>
    </row>
    <row r="2" spans="1:4" ht="20.25" x14ac:dyDescent="0.25">
      <c r="A2" s="2" t="s">
        <v>0</v>
      </c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3" t="s">
        <v>1</v>
      </c>
      <c r="B4" s="4" t="s">
        <v>2</v>
      </c>
      <c r="C4" s="1"/>
      <c r="D4" s="1"/>
    </row>
    <row r="5" spans="1:4" x14ac:dyDescent="0.25">
      <c r="A5" s="1" t="s">
        <v>3</v>
      </c>
      <c r="B5" s="5">
        <v>2</v>
      </c>
      <c r="C5" s="1"/>
      <c r="D5" s="1" t="s">
        <v>4</v>
      </c>
    </row>
    <row r="6" spans="1:4" x14ac:dyDescent="0.25">
      <c r="A6" s="1" t="s">
        <v>5</v>
      </c>
      <c r="B6" s="6">
        <v>6</v>
      </c>
      <c r="C6" s="1"/>
      <c r="D6" s="1" t="s">
        <v>6</v>
      </c>
    </row>
    <row r="7" spans="1:4" x14ac:dyDescent="0.25">
      <c r="A7" s="1" t="s">
        <v>7</v>
      </c>
      <c r="B7" s="7">
        <v>20</v>
      </c>
      <c r="C7" s="1"/>
      <c r="D7" s="1" t="s">
        <v>8</v>
      </c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8" t="s">
        <v>9</v>
      </c>
      <c r="B10" s="1"/>
      <c r="C10" s="1"/>
      <c r="D10" s="1"/>
    </row>
    <row r="11" spans="1:4" x14ac:dyDescent="0.25">
      <c r="A11" s="1" t="s">
        <v>10</v>
      </c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 t="s">
        <v>11</v>
      </c>
      <c r="B13" s="1"/>
      <c r="C13" s="1"/>
      <c r="D13" s="1"/>
    </row>
    <row r="14" spans="1:4" x14ac:dyDescent="0.25">
      <c r="A14" s="1" t="s">
        <v>12</v>
      </c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9" t="s">
        <v>13</v>
      </c>
      <c r="B16" s="1"/>
      <c r="C16" s="1"/>
      <c r="D16" s="1"/>
    </row>
    <row r="17" spans="1:4" x14ac:dyDescent="0.25">
      <c r="A17" s="1"/>
      <c r="B17" s="1"/>
      <c r="C17" s="1"/>
      <c r="D17" s="1"/>
    </row>
  </sheetData>
  <dataValidations count="2">
    <dataValidation type="decimal" operator="greaterThanOrEqual" showErrorMessage="1" errorTitle="Invalid input" error="Enter a nonnegative number." sqref="B7" xr:uid="{5C3839DD-5208-481D-A030-07CF9CCE23B6}">
      <formula1>0</formula1>
    </dataValidation>
    <dataValidation type="whole" showErrorMessage="1" errorTitle="Invalid input" error="Enter a whole number from 1 to 20." sqref="B6" xr:uid="{F4A2702B-1E70-4082-B07B-53A758F10781}">
      <formula1>1</formula1>
      <formula2>20</formula2>
    </dataValidation>
  </dataValidations>
  <pageMargins left="0.7" right="0.7" top="0.75" bottom="0.75" header="0.3" footer="0.3"/>
  <drawing r:id="R0657c4ea81bf4c0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E4A5-F0EF-49BE-9A0F-7421EC40747D}">
  <dimension ref="A1:G15"/>
  <sheetViews>
    <sheetView workbookViewId="0">
      <selection activeCell="C9" sqref="C9"/>
    </sheetView>
  </sheetViews>
  <sheetFormatPr defaultRowHeight="15" x14ac:dyDescent="0.25"/>
  <cols>
    <col min="1" max="1" width="29.7109375" customWidth="1"/>
    <col min="2" max="2" width="25.140625" customWidth="1"/>
    <col min="3" max="4" width="20.5703125" customWidth="1"/>
    <col min="5" max="7" width="25.1406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0.25" x14ac:dyDescent="0.25">
      <c r="A2" s="2" t="s">
        <v>14</v>
      </c>
      <c r="B2" s="1"/>
      <c r="C2" s="1"/>
      <c r="D2" s="1"/>
      <c r="E2" s="1"/>
      <c r="F2" s="1"/>
      <c r="G2" s="1"/>
    </row>
    <row r="3" spans="1:7" x14ac:dyDescent="0.25">
      <c r="A3" s="9" t="s">
        <v>15</v>
      </c>
      <c r="B3" s="1"/>
      <c r="C3" s="1"/>
      <c r="D3" s="1"/>
      <c r="E3" s="1"/>
      <c r="F3" s="1"/>
      <c r="G3" s="1"/>
    </row>
    <row r="4" spans="1:7" x14ac:dyDescent="0.25">
      <c r="A4" s="1" t="s">
        <v>16</v>
      </c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ht="30" x14ac:dyDescent="0.25">
      <c r="A6" s="3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22</v>
      </c>
      <c r="G6" s="4" t="s">
        <v>23</v>
      </c>
    </row>
    <row r="7" spans="1:7" x14ac:dyDescent="0.25">
      <c r="A7" s="11" t="s">
        <v>24</v>
      </c>
      <c r="B7" s="12">
        <v>200</v>
      </c>
      <c r="C7" s="12">
        <v>100</v>
      </c>
      <c r="D7" s="12">
        <v>500</v>
      </c>
      <c r="E7" s="13">
        <v>2.5</v>
      </c>
      <c r="F7" s="14">
        <f>B7*[1]Setup!$B$6/[1]Setup!$B$5</f>
        <v>600</v>
      </c>
      <c r="G7" s="15">
        <f>F7/D7*E7</f>
        <v>3</v>
      </c>
    </row>
    <row r="8" spans="1:7" x14ac:dyDescent="0.25">
      <c r="A8" s="11" t="s">
        <v>25</v>
      </c>
      <c r="B8" s="12">
        <v>80</v>
      </c>
      <c r="C8" s="12">
        <v>20</v>
      </c>
      <c r="D8" s="12">
        <v>100</v>
      </c>
      <c r="E8" s="13">
        <v>4</v>
      </c>
      <c r="F8" s="14">
        <f>B8*[1]Setup!$B$6/[1]Setup!$B$5</f>
        <v>240</v>
      </c>
      <c r="G8" s="15">
        <f>F8/D8*E8</f>
        <v>9.6</v>
      </c>
    </row>
    <row r="9" spans="1:7" x14ac:dyDescent="0.25">
      <c r="A9" s="11" t="s">
        <v>26</v>
      </c>
      <c r="B9" s="12">
        <v>36</v>
      </c>
      <c r="C9" s="12">
        <v>0</v>
      </c>
      <c r="D9" s="12">
        <v>36</v>
      </c>
      <c r="E9" s="13">
        <v>0.54</v>
      </c>
      <c r="F9" s="14">
        <f>B9*[1]Setup!$B$6/[1]Setup!$B$5</f>
        <v>108</v>
      </c>
      <c r="G9" s="15">
        <f>F9/D9*E9</f>
        <v>1.62</v>
      </c>
    </row>
    <row r="10" spans="1:7" x14ac:dyDescent="0.25">
      <c r="A10" s="11" t="s">
        <v>27</v>
      </c>
      <c r="B10" s="12">
        <v>40</v>
      </c>
      <c r="C10" s="12">
        <v>10</v>
      </c>
      <c r="D10" s="12">
        <v>100</v>
      </c>
      <c r="E10" s="13">
        <v>3.5</v>
      </c>
      <c r="F10" s="14">
        <f>B10*[1]Setup!$B$6/[1]Setup!$B$5</f>
        <v>120</v>
      </c>
      <c r="G10" s="15">
        <f>F10/D10*E10</f>
        <v>4.2</v>
      </c>
    </row>
    <row r="11" spans="1:7" x14ac:dyDescent="0.25">
      <c r="A11" s="11" t="s">
        <v>28</v>
      </c>
      <c r="B11" s="12">
        <v>1</v>
      </c>
      <c r="C11" s="12">
        <v>2</v>
      </c>
      <c r="D11" s="12">
        <v>50</v>
      </c>
      <c r="E11" s="13">
        <v>2.5</v>
      </c>
      <c r="F11" s="14">
        <f>B11*[1]Setup!$B$6/[1]Setup!$B$5</f>
        <v>3</v>
      </c>
      <c r="G11" s="15">
        <f>F11/D11*E11</f>
        <v>0.15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</sheetData>
  <dataValidations count="2">
    <dataValidation type="decimal" operator="greaterThan" showErrorMessage="1" errorTitle="Invalid input" error="Enter a number greater than zero." sqref="D7:D11" xr:uid="{7ED7AEF3-B309-4CD4-88ED-E7F57FFA2B56}">
      <formula1>0</formula1>
    </dataValidation>
    <dataValidation type="decimal" operator="greaterThanOrEqual" showErrorMessage="1" errorTitle="Invalid input" error="Enter a nonnegative number." sqref="B7:C11 E7:E11" xr:uid="{206F5B82-4D8A-42C6-B6E1-4BCDF99DD37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5907-085B-4E59-B0C4-38DBF96BE830}">
  <dimension ref="A1:J15"/>
  <sheetViews>
    <sheetView workbookViewId="0">
      <selection activeCell="B11" sqref="B11"/>
    </sheetView>
  </sheetViews>
  <sheetFormatPr defaultRowHeight="15" x14ac:dyDescent="0.25"/>
  <cols>
    <col min="1" max="1" width="29.7109375" customWidth="1"/>
    <col min="2" max="3" width="14.85546875" customWidth="1"/>
    <col min="4" max="7" width="19.42578125" customWidth="1"/>
    <col min="8" max="10" width="25.1406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.25" x14ac:dyDescent="0.25">
      <c r="A2" s="2" t="s">
        <v>29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5</v>
      </c>
      <c r="B3" s="5">
        <f>[1]Setup!B6</f>
        <v>6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1" t="s">
        <v>30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0" x14ac:dyDescent="0.25">
      <c r="A6" s="3" t="s">
        <v>17</v>
      </c>
      <c r="B6" s="10" t="s">
        <v>31</v>
      </c>
      <c r="C6" s="10" t="s">
        <v>32</v>
      </c>
      <c r="D6" s="10" t="s">
        <v>33</v>
      </c>
      <c r="E6" s="10" t="s">
        <v>20</v>
      </c>
      <c r="F6" s="10" t="s">
        <v>21</v>
      </c>
      <c r="G6" s="10" t="s">
        <v>34</v>
      </c>
      <c r="H6" s="10" t="s">
        <v>35</v>
      </c>
      <c r="I6" s="10" t="s">
        <v>36</v>
      </c>
      <c r="J6" s="4" t="s">
        <v>23</v>
      </c>
    </row>
    <row r="7" spans="1:10" x14ac:dyDescent="0.25">
      <c r="A7" s="1" t="str">
        <f>[1]Ingredients!A7</f>
        <v>Spaghetti (dry)</v>
      </c>
      <c r="B7" s="16">
        <f>[1]Ingredients!F7</f>
        <v>600</v>
      </c>
      <c r="C7" s="16">
        <f>[1]Ingredients!C7</f>
        <v>100</v>
      </c>
      <c r="D7" s="16">
        <f>MAX(0,B7-C7)</f>
        <v>500</v>
      </c>
      <c r="E7" s="16">
        <f>[1]Ingredients!D7</f>
        <v>500</v>
      </c>
      <c r="F7" s="17">
        <f>[1]Ingredients!E7</f>
        <v>2.5</v>
      </c>
      <c r="G7" s="18">
        <f>ROUNDUP(D7/E7,0)</f>
        <v>1</v>
      </c>
      <c r="H7" s="17">
        <f>G7*F7</f>
        <v>2.5</v>
      </c>
      <c r="I7" s="16">
        <f>C7+G7*E7-B7</f>
        <v>0</v>
      </c>
      <c r="J7" s="17">
        <f>[1]Ingredients!G7</f>
        <v>3</v>
      </c>
    </row>
    <row r="8" spans="1:10" x14ac:dyDescent="0.25">
      <c r="A8" s="1" t="str">
        <f>[1]Ingredients!A8</f>
        <v>Guanciale</v>
      </c>
      <c r="B8" s="16">
        <f>[1]Ingredients!F8</f>
        <v>240</v>
      </c>
      <c r="C8" s="16">
        <f>[1]Ingredients!C8</f>
        <v>20</v>
      </c>
      <c r="D8" s="16">
        <f>MAX(0,B8-C8)</f>
        <v>220</v>
      </c>
      <c r="E8" s="16">
        <f>[1]Ingredients!D8</f>
        <v>100</v>
      </c>
      <c r="F8" s="17">
        <f>[1]Ingredients!E8</f>
        <v>4</v>
      </c>
      <c r="G8" s="18">
        <f>ROUNDUP(D8/E8,0)</f>
        <v>3</v>
      </c>
      <c r="H8" s="17">
        <f>G8*F8</f>
        <v>12</v>
      </c>
      <c r="I8" s="16">
        <f>C8+G8*E8-B8</f>
        <v>80</v>
      </c>
      <c r="J8" s="17">
        <f>[1]Ingredients!G8</f>
        <v>9.6</v>
      </c>
    </row>
    <row r="9" spans="1:10" x14ac:dyDescent="0.25">
      <c r="A9" s="1" t="str">
        <f>[1]Ingredients!A9</f>
        <v>Egg yolks</v>
      </c>
      <c r="B9" s="16">
        <f>[1]Ingredients!F9</f>
        <v>108</v>
      </c>
      <c r="C9" s="16">
        <f>[1]Ingredients!C9</f>
        <v>0</v>
      </c>
      <c r="D9" s="16">
        <f>MAX(0,B9-C9)</f>
        <v>108</v>
      </c>
      <c r="E9" s="16">
        <f>[1]Ingredients!D9</f>
        <v>36</v>
      </c>
      <c r="F9" s="17">
        <f>[1]Ingredients!E9</f>
        <v>0.54</v>
      </c>
      <c r="G9" s="18">
        <f>ROUNDUP(D9/E9,0)</f>
        <v>3</v>
      </c>
      <c r="H9" s="17">
        <f>G9*F9</f>
        <v>1.62</v>
      </c>
      <c r="I9" s="16">
        <f>C9+G9*E9-B9</f>
        <v>0</v>
      </c>
      <c r="J9" s="17">
        <f>[1]Ingredients!G9</f>
        <v>1.62</v>
      </c>
    </row>
    <row r="10" spans="1:10" x14ac:dyDescent="0.25">
      <c r="A10" s="1" t="str">
        <f>[1]Ingredients!A10</f>
        <v>Pecorino Romano</v>
      </c>
      <c r="B10" s="16">
        <f>[1]Ingredients!F10</f>
        <v>120</v>
      </c>
      <c r="C10" s="16">
        <f>[1]Ingredients!C10</f>
        <v>10</v>
      </c>
      <c r="D10" s="16">
        <f>MAX(0,B10-C10)</f>
        <v>110</v>
      </c>
      <c r="E10" s="16">
        <f>[1]Ingredients!D10</f>
        <v>100</v>
      </c>
      <c r="F10" s="17">
        <f>[1]Ingredients!E10</f>
        <v>3.5</v>
      </c>
      <c r="G10" s="18">
        <f>ROUNDUP(D10/E10,0)</f>
        <v>2</v>
      </c>
      <c r="H10" s="17">
        <f>G10*F10</f>
        <v>7</v>
      </c>
      <c r="I10" s="16">
        <f>C10+G10*E10-B10</f>
        <v>90</v>
      </c>
      <c r="J10" s="17">
        <f>[1]Ingredients!G10</f>
        <v>4.2</v>
      </c>
    </row>
    <row r="11" spans="1:10" x14ac:dyDescent="0.25">
      <c r="A11" s="1" t="str">
        <f>[1]Ingredients!A11</f>
        <v>Black pepper</v>
      </c>
      <c r="B11" s="16">
        <f>[1]Ingredients!F11</f>
        <v>3</v>
      </c>
      <c r="C11" s="16">
        <f>[1]Ingredients!C11</f>
        <v>2</v>
      </c>
      <c r="D11" s="16">
        <f>MAX(0,B11-C11)</f>
        <v>1</v>
      </c>
      <c r="E11" s="16">
        <f>[1]Ingredients!D11</f>
        <v>50</v>
      </c>
      <c r="F11" s="17">
        <f>[1]Ingredients!E11</f>
        <v>2.5</v>
      </c>
      <c r="G11" s="18">
        <f>ROUNDUP(D11/E11,0)</f>
        <v>1</v>
      </c>
      <c r="H11" s="17">
        <f>G11*F11</f>
        <v>2.5</v>
      </c>
      <c r="I11" s="16">
        <f>C11+G11*E11-B11</f>
        <v>49</v>
      </c>
      <c r="J11" s="17">
        <f>[1]Ingredients!G11</f>
        <v>0.15</v>
      </c>
    </row>
    <row r="12" spans="1:10" x14ac:dyDescent="0.25">
      <c r="A12" s="1"/>
      <c r="B12" s="1"/>
      <c r="C12" s="1"/>
      <c r="D12" s="1"/>
      <c r="E12" s="1"/>
      <c r="F12" s="1"/>
      <c r="G12" s="1"/>
      <c r="H12" s="17"/>
      <c r="I12" s="1"/>
      <c r="J12" s="17"/>
    </row>
    <row r="13" spans="1:10" x14ac:dyDescent="0.25">
      <c r="A13" s="19" t="s">
        <v>37</v>
      </c>
      <c r="B13" s="19"/>
      <c r="C13" s="19"/>
      <c r="D13" s="19"/>
      <c r="E13" s="19"/>
      <c r="F13" s="19"/>
      <c r="G13" s="19"/>
      <c r="H13" s="20">
        <f>SUM(H7:H11)</f>
        <v>25.62</v>
      </c>
      <c r="I13" s="19"/>
      <c r="J13" s="20">
        <f>SUM(J7:J11)</f>
        <v>18.569999999999997</v>
      </c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conditionalFormatting sqref="A7:J11">
    <cfRule type="expression" dxfId="3" priority="1">
      <formula>$G7&gt;0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F7EE-9C1E-4C96-B0B7-2339887BE1DA}">
  <sheetPr>
    <tabColor theme="3" tint="0.39997558519241921"/>
  </sheetPr>
  <dimension ref="A1:K43"/>
  <sheetViews>
    <sheetView workbookViewId="0">
      <selection activeCell="C41" sqref="C41"/>
    </sheetView>
  </sheetViews>
  <sheetFormatPr defaultRowHeight="15" x14ac:dyDescent="0.25"/>
  <cols>
    <col min="1" max="3" width="18.28515625" customWidth="1"/>
    <col min="4" max="4" width="21.7109375" customWidth="1"/>
    <col min="5" max="5" width="4.5703125" customWidth="1"/>
    <col min="6" max="8" width="18.28515625" customWidth="1"/>
    <col min="9" max="9" width="22.85546875" customWidth="1"/>
    <col min="10" max="11" width="2.285156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25" x14ac:dyDescent="0.25">
      <c r="A2" s="2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1" t="s">
        <v>39</v>
      </c>
      <c r="B4" s="21"/>
      <c r="C4" s="21"/>
      <c r="D4" s="21"/>
      <c r="E4" s="8"/>
      <c r="F4" s="21" t="s">
        <v>7</v>
      </c>
      <c r="G4" s="21"/>
      <c r="H4" s="21"/>
      <c r="I4" s="21"/>
      <c r="J4" s="1"/>
      <c r="K4" s="1"/>
    </row>
    <row r="5" spans="1:11" x14ac:dyDescent="0.25">
      <c r="A5" s="1" t="s">
        <v>5</v>
      </c>
      <c r="B5" s="1"/>
      <c r="C5" s="1"/>
      <c r="D5" s="18">
        <f>[1]Setup!B6</f>
        <v>6</v>
      </c>
      <c r="E5" s="1"/>
      <c r="F5" s="1" t="s">
        <v>40</v>
      </c>
      <c r="G5" s="1"/>
      <c r="H5" s="1"/>
      <c r="I5" s="22">
        <f>[1]ShoppingList!H13</f>
        <v>25.62</v>
      </c>
      <c r="J5" s="1"/>
      <c r="K5" s="1"/>
    </row>
    <row r="6" spans="1:11" x14ac:dyDescent="0.25">
      <c r="A6" s="1" t="s">
        <v>41</v>
      </c>
      <c r="B6" s="1"/>
      <c r="C6" s="1"/>
      <c r="D6" s="22">
        <f>[1]ShoppingList!J13</f>
        <v>18.569999999999997</v>
      </c>
      <c r="E6" s="1"/>
      <c r="F6" s="1" t="s">
        <v>42</v>
      </c>
      <c r="G6" s="1"/>
      <c r="H6" s="1"/>
      <c r="I6" s="22">
        <f>[1]Setup!B7</f>
        <v>20</v>
      </c>
      <c r="J6" s="1"/>
      <c r="K6" s="1"/>
    </row>
    <row r="7" spans="1:11" x14ac:dyDescent="0.25">
      <c r="A7" s="1" t="s">
        <v>43</v>
      </c>
      <c r="B7" s="1"/>
      <c r="C7" s="1"/>
      <c r="D7" s="22">
        <f>ROUND(D6/D5,2)</f>
        <v>3.1</v>
      </c>
      <c r="E7" s="1"/>
      <c r="F7" s="1" t="s">
        <v>44</v>
      </c>
      <c r="G7" s="1"/>
      <c r="H7" s="1"/>
      <c r="I7" s="22">
        <f>I6-I5</f>
        <v>-5.620000000000001</v>
      </c>
      <c r="J7" s="1"/>
      <c r="K7" s="1"/>
    </row>
    <row r="8" spans="1:11" x14ac:dyDescent="0.25">
      <c r="A8" s="1"/>
      <c r="B8" s="1"/>
      <c r="C8" s="1"/>
      <c r="D8" s="1"/>
      <c r="E8" s="1"/>
      <c r="F8" s="1" t="s">
        <v>45</v>
      </c>
      <c r="G8" s="1"/>
      <c r="H8" s="1"/>
      <c r="I8" s="8" t="str">
        <f>IF(I5&lt;=I6,"Within budget","Over budget")</f>
        <v>Over budget</v>
      </c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43" spans="2:2" x14ac:dyDescent="0.25">
      <c r="B43" s="23"/>
    </row>
  </sheetData>
  <conditionalFormatting sqref="I5">
    <cfRule type="expression" dxfId="2" priority="1">
      <formula>I5&gt;I6</formula>
    </cfRule>
  </conditionalFormatting>
  <conditionalFormatting sqref="I7">
    <cfRule type="cellIs" dxfId="1" priority="2" operator="lessThan">
      <formula>0</formula>
    </cfRule>
  </conditionalFormatting>
  <conditionalFormatting sqref="I8">
    <cfRule type="expression" dxfId="0" priority="3">
      <formula>I5&gt;I6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2026-10-03T17:57:23Z</dcterms:created>
  <dcterms:modified xsi:type="dcterms:W3CDTF">2026-10-03T18:01:43Z</dcterms:modified>
</cp:coreProperties>
</file>